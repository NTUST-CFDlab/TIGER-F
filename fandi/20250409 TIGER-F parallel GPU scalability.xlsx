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44" windowHeight="8460" tabRatio="745"/>
  </bookViews>
  <sheets>
    <sheet name="ALL" sheetId="13" r:id="rId1"/>
    <sheet name="Taiwania 2" sheetId="8" r:id="rId2"/>
    <sheet name="Nano 5" sheetId="11" r:id="rId3"/>
    <sheet name="StrongScaling_24M" sheetId="18" r:id="rId4"/>
    <sheet name="F1_multi" sheetId="19" r:id="rId5"/>
    <sheet name="TW3_multi" sheetId="20" r:id="rId6"/>
    <sheet name="node09g_CPU_16M" sheetId="14" r:id="rId7"/>
    <sheet name="0.994" sheetId="5" r:id="rId8"/>
    <sheet name="2.112" sheetId="4" r:id="rId9"/>
    <sheet name="4.077" sheetId="3" r:id="rId10"/>
    <sheet name="7.984" sheetId="1" r:id="rId11"/>
    <sheet name="10.051" sheetId="2" r:id="rId12"/>
    <sheet name="16.095" sheetId="6" r:id="rId13"/>
    <sheet name="24.039" sheetId="7" r:id="rId14"/>
    <sheet name="32.202" sheetId="9" r:id="rId15"/>
    <sheet name="63.780" sheetId="10" r:id="rId16"/>
    <sheet name="128.393" sheetId="12" r:id="rId17"/>
    <sheet name="Sheet1" sheetId="15" r:id="rId18"/>
  </sheets>
  <calcPr calcId="144525"/>
</workbook>
</file>

<file path=xl/comments1.xml><?xml version="1.0" encoding="utf-8"?>
<comments xmlns="http://schemas.openxmlformats.org/spreadsheetml/2006/main">
  <authors>
    <author>fandi</author>
  </authors>
  <commentList>
    <comment ref="B20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throughput = workload/time
workload is proportional to #mesh</t>
        </r>
      </text>
    </comment>
    <comment ref="J20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speedup = 1 GPU time / n GPU time
how many times faster than 1 GPU</t>
        </r>
      </text>
    </comment>
    <comment ref="T20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cost ratio = n GPU/ speedup
how many times the cost of 1 GPU</t>
        </r>
      </text>
    </comment>
    <comment ref="AD20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effectiveness = speedup / cost ratio
</t>
        </r>
      </text>
    </comment>
  </commentList>
</comments>
</file>

<file path=xl/comments2.xml><?xml version="1.0" encoding="utf-8"?>
<comments xmlns="http://schemas.openxmlformats.org/spreadsheetml/2006/main">
  <authors>
    <author>fandi</author>
  </authors>
  <commentList>
    <comment ref="B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throughput = workload/time
workload is proportional to #mesh</t>
        </r>
      </text>
    </comment>
    <comment ref="J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speedup = 1 GPU time / n GPU time
how many times faster than 1 GPU</t>
        </r>
      </text>
    </comment>
    <comment ref="S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cost ratio = n GPU/ speedup
how many times the cost of 1 GPU</t>
        </r>
      </text>
    </comment>
    <comment ref="AB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effectiveness = speedup / cost ratio
</t>
        </r>
      </text>
    </comment>
  </commentList>
</comments>
</file>

<file path=xl/comments3.xml><?xml version="1.0" encoding="utf-8"?>
<comments xmlns="http://schemas.openxmlformats.org/spreadsheetml/2006/main">
  <authors>
    <author>fandi</author>
  </authors>
  <commentList>
    <comment ref="B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throughput = workload/time
workload is proportional to #mesh</t>
        </r>
      </text>
    </comment>
    <comment ref="J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speedup = 1 GPU time / n GPU time
how many times faster than 1 GPU</t>
        </r>
      </text>
    </comment>
    <comment ref="S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cost ratio = n GPU/ speedup
how many times the cost of 1 GPU</t>
        </r>
      </text>
    </comment>
    <comment ref="AB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effectiveness = speedup / cost ratio
</t>
        </r>
      </text>
    </comment>
  </commentList>
</comments>
</file>

<file path=xl/comments4.xml><?xml version="1.0" encoding="utf-8"?>
<comments xmlns="http://schemas.openxmlformats.org/spreadsheetml/2006/main">
  <authors>
    <author>fandi</author>
  </authors>
  <commentList>
    <comment ref="B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throughput = workload/time
workload is proportional to #mesh</t>
        </r>
      </text>
    </comment>
    <comment ref="J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speedup = 1 GPU time / n GPU time
how many times faster than 1 GPU</t>
        </r>
      </text>
    </comment>
    <comment ref="S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cost ratio = n GPU/ speedup
how many times the cost of 1 GPU</t>
        </r>
      </text>
    </comment>
    <comment ref="AB21" authorId="0">
      <text>
        <r>
          <rPr>
            <b/>
            <sz val="14"/>
            <rFont val="Times New Roman"/>
            <charset val="0"/>
          </rPr>
          <t>fandi:</t>
        </r>
        <r>
          <rPr>
            <sz val="14"/>
            <rFont val="Times New Roman"/>
            <charset val="0"/>
          </rPr>
          <t xml:space="preserve">
effectiveness = speedup / cost ratio
</t>
        </r>
      </text>
    </comment>
  </commentList>
</comments>
</file>

<file path=xl/sharedStrings.xml><?xml version="1.0" encoding="utf-8"?>
<sst xmlns="http://schemas.openxmlformats.org/spreadsheetml/2006/main" count="906" uniqueCount="172">
  <si>
    <t>NTUT VCP</t>
  </si>
  <si>
    <t>NVIDIA HOPPER H100, 16896 CUDA cores, clockspeed: 1590 MHz, FP64: 33.45 TFLOPS,  80GB VRAM (HBM3), PCIe 5</t>
  </si>
  <si>
    <t>NANO 5</t>
  </si>
  <si>
    <t>NVIDIA HOPPER H100, 14592 CUDA cores, clockspeed: 1125 MHz, FP64: 25.61 TFLOPS, 80GB VRAM (HBM2e), PCIe 5</t>
  </si>
  <si>
    <t>(NTD 50 /GPU.hr)</t>
  </si>
  <si>
    <t>TAIWANIA 2</t>
  </si>
  <si>
    <t>NVIDIA TESLA V100, 5120 CUDA cores, clockspeed: 1230 MHz, FP64: 7.834 TFLOPS, 32GB VRAM (HBM2),  PCIe 3</t>
  </si>
  <si>
    <t>(NTD 21 /GPU.hr)</t>
  </si>
  <si>
    <t>GPU node09g</t>
  </si>
  <si>
    <t>NVIDIA RTX A6000 (Ampere), 10752 CUDA cores, clockspeed: 1410 MHz, FP64: 604.8 GFLOPS, 48GB VRAM (GDDR6), PCIe 4</t>
  </si>
  <si>
    <t>GPU desktop PC</t>
  </si>
  <si>
    <t>NVIDIA RTX 3060, 3584 CUDA cores, clockspeed: 1320 MHz, FP64: 199.0 GFLOPS, 12GB VRAM (GDDR6), PCIe 4</t>
  </si>
  <si>
    <t>FORERUNNER1 (8x14c)</t>
  </si>
  <si>
    <t>INTEL Xeon Platinum 8480+ , 2x56 cores, clockspeed: 2000 MHz</t>
  </si>
  <si>
    <t>*1 process = 1 NUMA node</t>
  </si>
  <si>
    <t>(NTD 0.2 /core.hr)</t>
  </si>
  <si>
    <t>TAIWANIA 3 (2x28c)</t>
  </si>
  <si>
    <t>INTEL Xeon Platinum 8280 , 2x28 cores, clockspeed: 2700 MHz</t>
  </si>
  <si>
    <t>(NTD 0.08 /core.hr)</t>
  </si>
  <si>
    <t>CPU node09g (32c)</t>
  </si>
  <si>
    <t>INTEL Xeon Gold 6426Y , 2x16 cores, clockspeed: 2500 MHz</t>
  </si>
  <si>
    <t>CPU node08 (2x24c)</t>
  </si>
  <si>
    <t>INTEL Xeon Gold 5318Y , 2x24 cores, clockspeed: 2100 MHz</t>
  </si>
  <si>
    <t>Runtime 1 GPU</t>
  </si>
  <si>
    <t>Runtime 1 CPU</t>
  </si>
  <si>
    <t>Throughput</t>
  </si>
  <si>
    <t># cells</t>
  </si>
  <si>
    <t>VRAM usage (GiB)</t>
  </si>
  <si>
    <t>NANO 5 (H100 HBM2e)</t>
  </si>
  <si>
    <t>NTUT VCP (H100 HBM3)</t>
  </si>
  <si>
    <t>TAIWANIA 2 (V100 HBM2)</t>
  </si>
  <si>
    <t>GPU node09g (RTX A6000)</t>
  </si>
  <si>
    <t>GPU desktop PC (RTX 3060)</t>
  </si>
  <si>
    <t>FORERUNNER1 (112c)</t>
  </si>
  <si>
    <t>CPU node09g (@32c)</t>
  </si>
  <si>
    <t>1M</t>
  </si>
  <si>
    <t>2M</t>
  </si>
  <si>
    <t>4M</t>
  </si>
  <si>
    <t>8M</t>
  </si>
  <si>
    <t>16M</t>
  </si>
  <si>
    <t>24M</t>
  </si>
  <si>
    <t>32M</t>
  </si>
  <si>
    <t>64M</t>
  </si>
  <si>
    <t>128M</t>
  </si>
  <si>
    <t>choose left</t>
  </si>
  <si>
    <t>choose right</t>
  </si>
  <si>
    <t>Speed factor</t>
  </si>
  <si>
    <t>N5:TW2(x1)</t>
  </si>
  <si>
    <t>N5:F1(x1)</t>
  </si>
  <si>
    <t>N5:TW3(x1)</t>
  </si>
  <si>
    <t>TW2:F1(x1)</t>
  </si>
  <si>
    <t>TW2:TW3(x1)</t>
  </si>
  <si>
    <t>F1:TW3(x1)</t>
  </si>
  <si>
    <t>Cost factor:</t>
  </si>
  <si>
    <t>N5:TW2(x2)</t>
  </si>
  <si>
    <t>N5:F1(x2)</t>
  </si>
  <si>
    <t>N5:TW3(x2)</t>
  </si>
  <si>
    <t>TW2:F1(x2)</t>
  </si>
  <si>
    <t>TW2:TW3(x2)</t>
  </si>
  <si>
    <t>F1:TW3(x2)</t>
  </si>
  <si>
    <t>N5:TW2(x4)</t>
  </si>
  <si>
    <t>N5:F1(x4)</t>
  </si>
  <si>
    <t>N5:TW3(x4)</t>
  </si>
  <si>
    <t>TW2:F1(x4)</t>
  </si>
  <si>
    <t>TW2:TW3(x4)</t>
  </si>
  <si>
    <t>F1:TW3(x4)</t>
  </si>
  <si>
    <t>Simulation case: flow past a stationary cylinder at Re 3900 with a constant CFL = 0.1</t>
  </si>
  <si>
    <t>FIxed domain, constant mesh ratio in 3D</t>
  </si>
  <si>
    <t>Data collection starts at t*=300 to ensure a steady condition  (steady = similar fluctuation pattern and number of P iterations per timestep between different #of mesh)</t>
  </si>
  <si>
    <t>Sampling data is the total runtime of first 20,000 timesteps after t*=300</t>
  </si>
  <si>
    <t>GPU</t>
  </si>
  <si>
    <t>NVIDIA TESLA V100, 5120 CUDA cores, clockspeed: 1230 MHz, 32GB VRAM (HBM2),  PCIe 3</t>
  </si>
  <si>
    <t>inter node</t>
  </si>
  <si>
    <t>Speedup</t>
  </si>
  <si>
    <t>cost ratio</t>
  </si>
  <si>
    <t>Effectiveness (speedup/cost)</t>
  </si>
  <si>
    <t>runtime 1 GPU</t>
  </si>
  <si>
    <t>runtime 2 GPU</t>
  </si>
  <si>
    <t>runtime 4 GPU</t>
  </si>
  <si>
    <t>runtime 8 GPU</t>
  </si>
  <si>
    <t>1 GPU</t>
  </si>
  <si>
    <t>2 GPU</t>
  </si>
  <si>
    <t>4 GPU</t>
  </si>
  <si>
    <t>8 GPU</t>
  </si>
  <si>
    <t>TAIWANIA NANO5</t>
  </si>
  <si>
    <t>NVIDIA HOPPER H100, 14592 CUDA cores, clockspeed: 1125 MHz, 80GB VRAM (HBM2e), PCIe 5</t>
  </si>
  <si>
    <t>intra node</t>
  </si>
  <si>
    <t xml:space="preserve"> </t>
  </si>
  <si>
    <t>runtime 2 GPU in 1 node</t>
  </si>
  <si>
    <t>runtime 2 GPU across node</t>
  </si>
  <si>
    <t>FORERUNNER1 (@112c)</t>
  </si>
  <si>
    <t>TAIWANIA 3 (@56c)</t>
  </si>
  <si>
    <t>FORERUNNER 1</t>
  </si>
  <si>
    <t>TAIWANIA 3</t>
  </si>
  <si>
    <t>runtime</t>
  </si>
  <si>
    <t>speedup</t>
  </si>
  <si>
    <t>runtime 1 NODE</t>
  </si>
  <si>
    <t>runtime 2 NODE</t>
  </si>
  <si>
    <t>runtime 4 NODE</t>
  </si>
  <si>
    <t>runtime 8 NODE</t>
  </si>
  <si>
    <t>1 NODE</t>
  </si>
  <si>
    <t>2 NODE</t>
  </si>
  <si>
    <t>4 NODE</t>
  </si>
  <si>
    <t>8 NODE</t>
  </si>
  <si>
    <t>Diverged</t>
  </si>
  <si>
    <t>CPU node09g (32c):</t>
  </si>
  <si>
    <t>INTEL Xeon Gold 6426Y , 2x16 cores, clockspeed: 3300 MHz</t>
  </si>
  <si>
    <t>ideal</t>
  </si>
  <si>
    <t>non-uniform-sin4 (Sin-Uniform)</t>
  </si>
  <si>
    <t>&lt;-- input</t>
  </si>
  <si>
    <t xml:space="preserve">Re = </t>
  </si>
  <si>
    <t>dySml =</t>
  </si>
  <si>
    <t>dzSml =</t>
  </si>
  <si>
    <t>dxSml =</t>
  </si>
  <si>
    <t>nu =</t>
  </si>
  <si>
    <r>
      <rPr>
        <sz val="11"/>
        <color theme="1"/>
        <rFont val="Calibri"/>
        <charset val="134"/>
        <scheme val="minor"/>
      </rPr>
      <t>(U</t>
    </r>
    <r>
      <rPr>
        <vertAlign val="subscript"/>
        <sz val="11"/>
        <color theme="1"/>
        <rFont val="Calibri"/>
        <charset val="134"/>
        <scheme val="minor"/>
      </rPr>
      <t>inf</t>
    </r>
    <r>
      <rPr>
        <sz val="11"/>
        <color theme="1"/>
        <rFont val="Calibri"/>
        <charset val="134"/>
        <scheme val="minor"/>
      </rPr>
      <t>/Re for dimensionless)</t>
    </r>
  </si>
  <si>
    <t>GridderYc =</t>
  </si>
  <si>
    <t>GridderZc =</t>
  </si>
  <si>
    <t>GridderXc =</t>
  </si>
  <si>
    <t>fluid density =</t>
  </si>
  <si>
    <t>freestream vel =</t>
  </si>
  <si>
    <t>ly =</t>
  </si>
  <si>
    <t>lySml =</t>
  </si>
  <si>
    <t xml:space="preserve">Cf = </t>
  </si>
  <si>
    <t>ny =</t>
  </si>
  <si>
    <t>nySml =</t>
  </si>
  <si>
    <t>nyLrg1 =</t>
  </si>
  <si>
    <t>&lt;-- adjustable value</t>
  </si>
  <si>
    <t>tau =</t>
  </si>
  <si>
    <t>nyLow =</t>
  </si>
  <si>
    <t>nyLrg2 =</t>
  </si>
  <si>
    <t>ufric =</t>
  </si>
  <si>
    <t>lz =</t>
  </si>
  <si>
    <t>lzSml =</t>
  </si>
  <si>
    <t>y+ =</t>
  </si>
  <si>
    <t>nz =</t>
  </si>
  <si>
    <t>nzSml =</t>
  </si>
  <si>
    <t>nzLrg1 =</t>
  </si>
  <si>
    <t>fwall =</t>
  </si>
  <si>
    <t>nzUps =</t>
  </si>
  <si>
    <t>nzLrg2 =</t>
  </si>
  <si>
    <r>
      <rPr>
        <b/>
        <sz val="11"/>
        <color theme="1"/>
        <rFont val="Calibri"/>
        <charset val="134"/>
        <scheme val="minor"/>
      </rPr>
      <t xml:space="preserve">Applied </t>
    </r>
    <r>
      <rPr>
        <sz val="11"/>
        <color theme="1"/>
        <rFont val="Symbol"/>
        <charset val="134"/>
      </rPr>
      <t>D</t>
    </r>
    <r>
      <rPr>
        <b/>
        <sz val="11"/>
        <color theme="1"/>
        <rFont val="Calibri"/>
        <charset val="134"/>
        <scheme val="minor"/>
      </rPr>
      <t>t =</t>
    </r>
  </si>
  <si>
    <t>lx =</t>
  </si>
  <si>
    <t>CFL =</t>
  </si>
  <si>
    <t>nx =</t>
  </si>
  <si>
    <t>Kuyper tune factor =</t>
  </si>
  <si>
    <t>highest ratio in y1 =</t>
  </si>
  <si>
    <t xml:space="preserve">Number of cells (M) = </t>
  </si>
  <si>
    <t>highest ratio in y2 =</t>
  </si>
  <si>
    <t>highest ratio in z1 =</t>
  </si>
  <si>
    <t>highest ratio in z2 =</t>
  </si>
  <si>
    <t>y2 direction</t>
  </si>
  <si>
    <t>y1 direction (yLow)</t>
  </si>
  <si>
    <t>z2 direction</t>
  </si>
  <si>
    <t>z1 direction (zUps)</t>
  </si>
  <si>
    <t>H =</t>
  </si>
  <si>
    <r>
      <rPr>
        <b/>
        <sz val="12"/>
        <color theme="1"/>
        <rFont val="Calibri"/>
        <charset val="134"/>
        <scheme val="minor"/>
      </rPr>
      <t xml:space="preserve">Machine name/
</t>
    </r>
    <r>
      <rPr>
        <sz val="12"/>
        <color theme="1"/>
        <rFont val="Calibri"/>
        <charset val="134"/>
        <scheme val="minor"/>
      </rPr>
      <t>location</t>
    </r>
  </si>
  <si>
    <t>Hardware
type</t>
  </si>
  <si>
    <t>Specification</t>
  </si>
  <si>
    <r>
      <rPr>
        <b/>
        <sz val="11"/>
        <color theme="1"/>
        <rFont val="Calibri"/>
        <charset val="134"/>
        <scheme val="minor"/>
      </rPr>
      <t>CPU node08 (48c)/</t>
    </r>
    <r>
      <rPr>
        <sz val="11"/>
        <color theme="1"/>
        <rFont val="Calibri"/>
        <charset val="134"/>
        <scheme val="minor"/>
      </rPr>
      <t xml:space="preserve">
Taiwan Tech (CFD lab)</t>
    </r>
  </si>
  <si>
    <t>CPU</t>
  </si>
  <si>
    <r>
      <rPr>
        <b/>
        <sz val="11"/>
        <color theme="1"/>
        <rFont val="Calibri"/>
        <charset val="134"/>
        <scheme val="minor"/>
      </rPr>
      <t>CPU node09g (32c)/</t>
    </r>
    <r>
      <rPr>
        <sz val="11"/>
        <color theme="1"/>
        <rFont val="Calibri"/>
        <charset val="134"/>
        <scheme val="minor"/>
      </rPr>
      <t xml:space="preserve">
Taiwan Tech (CFD lab)</t>
    </r>
  </si>
  <si>
    <r>
      <rPr>
        <b/>
        <sz val="11"/>
        <color theme="1"/>
        <rFont val="Calibri"/>
        <charset val="134"/>
        <scheme val="minor"/>
      </rPr>
      <t>RTX 3060*/</t>
    </r>
    <r>
      <rPr>
        <sz val="11"/>
        <color theme="1"/>
        <rFont val="Calibri"/>
        <charset val="134"/>
        <scheme val="minor"/>
      </rPr>
      <t xml:space="preserve">
Taiwan Tech (CFD lab)</t>
    </r>
  </si>
  <si>
    <t>NVIDIA RTX 3060, 3584 CUDA cores, clockspeed: 1320 MHz,
FP64: 199.0 GFLOPS, 12GB VRAM (GDDR6), PCIe 4</t>
  </si>
  <si>
    <r>
      <rPr>
        <b/>
        <sz val="11"/>
        <color theme="1"/>
        <rFont val="Calibri"/>
        <charset val="134"/>
        <scheme val="minor"/>
      </rPr>
      <t>GPU node09g/</t>
    </r>
    <r>
      <rPr>
        <sz val="11"/>
        <color theme="1"/>
        <rFont val="Calibri"/>
        <charset val="134"/>
        <scheme val="minor"/>
      </rPr>
      <t xml:space="preserve">
Taiwan Tech (CFD lab)</t>
    </r>
  </si>
  <si>
    <t>NVIDIA RTX A6000 (Ampere), 10752 CUDA cores, clockspeed: 1410 MHz,
FP64: 604.8 GFLOPS, 48GB VRAM (GDDR6), PCIe 4</t>
  </si>
  <si>
    <r>
      <rPr>
        <b/>
        <sz val="11"/>
        <color theme="1"/>
        <rFont val="Calibri"/>
        <charset val="134"/>
        <scheme val="minor"/>
      </rPr>
      <t>TAIWANIA 2/</t>
    </r>
    <r>
      <rPr>
        <sz val="11"/>
        <color theme="1"/>
        <rFont val="Calibri"/>
        <charset val="134"/>
        <scheme val="minor"/>
      </rPr>
      <t xml:space="preserve">
NCHC</t>
    </r>
  </si>
  <si>
    <t>NVIDIA TESLA V100, 5120 CUDA cores, clockspeed: 1230 MHz,
FP64: 7.834 TFLOPS, 32GB VRAM (HBM2),  PCIe 3</t>
  </si>
  <si>
    <r>
      <rPr>
        <b/>
        <sz val="11"/>
        <color theme="1"/>
        <rFont val="Calibri"/>
        <charset val="134"/>
        <scheme val="minor"/>
      </rPr>
      <t>NANO5/</t>
    </r>
    <r>
      <rPr>
        <sz val="11"/>
        <color theme="1"/>
        <rFont val="Calibri"/>
        <charset val="134"/>
        <scheme val="minor"/>
      </rPr>
      <t xml:space="preserve">
NCHC</t>
    </r>
  </si>
  <si>
    <t>NVIDIA HOPPER H100, 14592 CUDA cores, clockspeed: 1125 MHz,
FP64: 25.61 TFLOPS, 80GB VRAM (HBM2e), PCIe 5</t>
  </si>
  <si>
    <r>
      <rPr>
        <b/>
        <sz val="11"/>
        <color theme="1"/>
        <rFont val="Calibri"/>
        <charset val="134"/>
        <scheme val="minor"/>
      </rPr>
      <t>NTUT VCP/</t>
    </r>
    <r>
      <rPr>
        <sz val="11"/>
        <color theme="1"/>
        <rFont val="Calibri"/>
        <charset val="134"/>
        <scheme val="minor"/>
      </rPr>
      <t xml:space="preserve">
Taipei Tech.</t>
    </r>
  </si>
  <si>
    <t>NVIDIA HOPPER H100, 16896 CUDA cores, clockspeed: 1590 MHz,
FP64: 33.45 TFLOPS,  80GB VRAM (HBM3), PCIe 5</t>
  </si>
</sst>
</file>

<file path=xl/styles.xml><?xml version="1.0" encoding="utf-8"?>
<styleSheet xmlns="http://schemas.openxmlformats.org/spreadsheetml/2006/main">
  <numFmts count="8">
    <numFmt numFmtId="176" formatCode="#,##0_ "/>
    <numFmt numFmtId="177" formatCode="0.00_ "/>
    <numFmt numFmtId="178" formatCode="0.000_);[Red]\(0.000\)"/>
    <numFmt numFmtId="42" formatCode="_(&quot;$&quot;* #,##0_);_(&quot;$&quot;* \(#,##0\);_(&quot;$&quot;* &quot;-&quot;_);_(@_)"/>
    <numFmt numFmtId="179" formatCode="_ * #,##0_ ;_ * \-#,##0_ ;_ * &quot;-&quot;_ ;_ @_ "/>
    <numFmt numFmtId="44" formatCode="_(&quot;$&quot;* #,##0.00_);_(&quot;$&quot;* \(#,##0.00\);_(&quot;$&quot;* &quot;-&quot;??_);_(@_)"/>
    <numFmt numFmtId="180" formatCode="_ * #,##0.00_ ;_ * \-#,##0.00_ ;_ * &quot;-&quot;??_ ;_ @_ "/>
    <numFmt numFmtId="181" formatCode="#,##0.00_ 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2"/>
      <color theme="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  <font>
      <sz val="11"/>
      <color theme="1"/>
      <name val="Symbol"/>
      <charset val="134"/>
    </font>
    <font>
      <sz val="14"/>
      <name val="Times New Roman"/>
      <charset val="0"/>
    </font>
    <font>
      <b/>
      <sz val="14"/>
      <name val="Times New Roman"/>
      <charset val="0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DC8C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2" fillId="14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18" borderId="16" applyNumberFormat="0" applyFont="0" applyAlignment="0" applyProtection="0">
      <alignment vertical="center"/>
    </xf>
    <xf numFmtId="0" fontId="15" fillId="17" borderId="1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4" borderId="15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8" fillId="13" borderId="14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3" borderId="4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178" fontId="2" fillId="0" borderId="0" xfId="44" applyNumberFormat="1" applyFont="1" applyAlignment="1">
      <alignment horizontal="left" vertical="center"/>
    </xf>
    <xf numFmtId="11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6" borderId="1" xfId="0" applyFill="1" applyBorder="1">
      <alignment vertical="center"/>
    </xf>
    <xf numFmtId="0" fontId="0" fillId="0" borderId="0" xfId="0" applyFont="1">
      <alignment vertical="center"/>
    </xf>
    <xf numFmtId="0" fontId="2" fillId="3" borderId="5" xfId="0" applyFont="1" applyFill="1" applyBorder="1" applyAlignment="1">
      <alignment horizontal="right" vertical="center"/>
    </xf>
    <xf numFmtId="177" fontId="2" fillId="3" borderId="7" xfId="0" applyNumberFormat="1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right" vertical="center"/>
    </xf>
    <xf numFmtId="11" fontId="0" fillId="2" borderId="2" xfId="0" applyNumberFormat="1" applyFont="1" applyFill="1" applyBorder="1" applyAlignment="1">
      <alignment horizontal="left" vertical="center"/>
    </xf>
    <xf numFmtId="0" fontId="2" fillId="3" borderId="4" xfId="0" applyFont="1" applyFill="1" applyBorder="1">
      <alignment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right"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4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0" fillId="8" borderId="0" xfId="0" applyNumberFormat="1" applyFill="1" applyAlignment="1">
      <alignment horizontal="center" vertical="center"/>
    </xf>
    <xf numFmtId="177" fontId="0" fillId="9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F333E3"/>
      <color rgb="00FDC8C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customXml" Target="../customXml/item1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chartUserShapes" Target="../drawings/drawing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chartUserShapes" Target="../drawings/drawing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microsoft.com/office/2011/relationships/chartColorStyle" Target="colors19.xml"/><Relationship Id="rId2" Type="http://schemas.microsoft.com/office/2011/relationships/chartStyle" Target="style19.xml"/><Relationship Id="rId1" Type="http://schemas.openxmlformats.org/officeDocument/2006/relationships/chartUserShapes" Target="../drawings/drawing1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Scalability of TIGER-F with a single MPI process</a:t>
            </a:r>
            <a:endParaRPr sz="1600" b="1">
              <a:solidFill>
                <a:schemeClr val="tx1"/>
              </a:solidFill>
            </a:endParaRPr>
          </a:p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" b="0">
                <a:solidFill>
                  <a:schemeClr val="tx1"/>
                </a:solidFill>
              </a:rPr>
              <a:t>(Throughput = Processing rate)</a:t>
            </a:r>
            <a:endParaRPr sz="1400" b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5575882114406"/>
          <c:y val="0.02949256846745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7097867487702"/>
          <c:y val="0.147707547723005"/>
          <c:w val="0.760093744949087"/>
          <c:h val="0.696243415580815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ALL!$P$13</c:f>
              <c:strCache>
                <c:ptCount val="1"/>
                <c:pt idx="0">
                  <c:v>NTUT VCP (H100 HBM3)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  <a:sp3d contourW="25400"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ALL!$P$14:$P$22</c:f>
              <c:numCache>
                <c:formatCode>General</c:formatCode>
                <c:ptCount val="9"/>
                <c:pt idx="0">
                  <c:v>20626.6182924151</c:v>
                </c:pt>
                <c:pt idx="1">
                  <c:v>28128.3252162969</c:v>
                </c:pt>
                <c:pt idx="2">
                  <c:v>31940.300891563</c:v>
                </c:pt>
                <c:pt idx="3">
                  <c:v>37690.3941374616</c:v>
                </c:pt>
                <c:pt idx="4">
                  <c:v>37860.3547187275</c:v>
                </c:pt>
                <c:pt idx="5">
                  <c:v>38553.7213116001</c:v>
                </c:pt>
                <c:pt idx="6">
                  <c:v>38704.3858420187</c:v>
                </c:pt>
                <c:pt idx="7">
                  <c:v>40311.1565817549</c:v>
                </c:pt>
                <c:pt idx="8">
                  <c:v>36687.1283112404</c:v>
                </c:pt>
              </c:numCache>
            </c:numRef>
          </c:yVal>
          <c:smooth val="0"/>
        </c:ser>
        <c:ser>
          <c:idx val="9"/>
          <c:order val="1"/>
          <c:tx>
            <c:strRef>
              <c:f>ALL!$U$13</c:f>
              <c:strCache>
                <c:ptCount val="1"/>
                <c:pt idx="0">
                  <c:v>FORERUNNER1 (8x14c)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olid"/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ALL!$U$14:$U$22</c:f>
              <c:numCache>
                <c:formatCode>General</c:formatCode>
                <c:ptCount val="9"/>
                <c:pt idx="0">
                  <c:v>15856.6896144117</c:v>
                </c:pt>
                <c:pt idx="1">
                  <c:v>12765.5659167681</c:v>
                </c:pt>
                <c:pt idx="2">
                  <c:v>11259.1663658696</c:v>
                </c:pt>
                <c:pt idx="3">
                  <c:v>8927.69930008301</c:v>
                </c:pt>
                <c:pt idx="4">
                  <c:v>6999.41942006449</c:v>
                </c:pt>
                <c:pt idx="5">
                  <c:v>6114.51547512206</c:v>
                </c:pt>
                <c:pt idx="6">
                  <c:v>5782.39880403405</c:v>
                </c:pt>
                <c:pt idx="7">
                  <c:v>5318.20733737258</c:v>
                </c:pt>
                <c:pt idx="8">
                  <c:v>5258.05302749485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ALL!$O$13</c:f>
              <c:strCache>
                <c:ptCount val="1"/>
                <c:pt idx="0">
                  <c:v>NANO 5 (H100 HBM2e)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  <a:sp3d contourW="25400"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ALL!$O$14:$O$22</c:f>
              <c:numCache>
                <c:formatCode>General</c:formatCode>
                <c:ptCount val="9"/>
                <c:pt idx="0">
                  <c:v>19299.4015366609</c:v>
                </c:pt>
                <c:pt idx="1">
                  <c:v>26885.712141852</c:v>
                </c:pt>
                <c:pt idx="2">
                  <c:v>30775.0454001056</c:v>
                </c:pt>
                <c:pt idx="3">
                  <c:v>37110.1061507087</c:v>
                </c:pt>
                <c:pt idx="4">
                  <c:v>37506.022805676</c:v>
                </c:pt>
                <c:pt idx="5">
                  <c:v>38283.610954338</c:v>
                </c:pt>
                <c:pt idx="6">
                  <c:v>38218.4979158332</c:v>
                </c:pt>
                <c:pt idx="7">
                  <c:v>39836.1744949108</c:v>
                </c:pt>
                <c:pt idx="8">
                  <c:v>36356.5599466297</c:v>
                </c:pt>
              </c:numCache>
            </c:numRef>
          </c:yVal>
          <c:smooth val="0"/>
        </c:ser>
        <c:ser>
          <c:idx val="10"/>
          <c:order val="3"/>
          <c:tx>
            <c:strRef>
              <c:f>ALL!$V$13</c:f>
              <c:strCache>
                <c:ptCount val="1"/>
                <c:pt idx="0">
                  <c:v>TAIWANIA 3 (2x28c)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solid"/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ALL!$V$14:$V$22</c:f>
              <c:numCache>
                <c:formatCode>General</c:formatCode>
                <c:ptCount val="9"/>
                <c:pt idx="0">
                  <c:v>5513.03412845968</c:v>
                </c:pt>
                <c:pt idx="1">
                  <c:v>4477.31256058868</c:v>
                </c:pt>
                <c:pt idx="2">
                  <c:v>3564.57307240486</c:v>
                </c:pt>
                <c:pt idx="3">
                  <c:v>3133.32528241806</c:v>
                </c:pt>
                <c:pt idx="4">
                  <c:v>2886.9741256683</c:v>
                </c:pt>
                <c:pt idx="5">
                  <c:v>2882.51328531096</c:v>
                </c:pt>
                <c:pt idx="6">
                  <c:v>2821.9646011501</c:v>
                </c:pt>
                <c:pt idx="7">
                  <c:v>2778.77606884649</c:v>
                </c:pt>
                <c:pt idx="8">
                  <c:v>2725.24967893912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ALL!$Q$13</c:f>
              <c:strCache>
                <c:ptCount val="1"/>
                <c:pt idx="0">
                  <c:v>TAIWANIA 2 (V100 HBM2)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  <a:sp3d contourW="25400"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ALL!$Q$14:$Q$21</c:f>
              <c:numCache>
                <c:formatCode>General</c:formatCode>
                <c:ptCount val="8"/>
                <c:pt idx="0">
                  <c:v>7973.81935411204</c:v>
                </c:pt>
                <c:pt idx="1">
                  <c:v>9561.87880678355</c:v>
                </c:pt>
                <c:pt idx="2">
                  <c:v>9859.09559317052</c:v>
                </c:pt>
                <c:pt idx="3">
                  <c:v>10860.4373324792</c:v>
                </c:pt>
                <c:pt idx="4">
                  <c:v>10800.4744462533</c:v>
                </c:pt>
                <c:pt idx="5">
                  <c:v>10583.5078395288</c:v>
                </c:pt>
                <c:pt idx="6">
                  <c:v>10722.0858932397</c:v>
                </c:pt>
                <c:pt idx="7">
                  <c:v>9754.8619776346</c:v>
                </c:pt>
              </c:numCache>
            </c:numRef>
          </c:yVal>
          <c:smooth val="0"/>
        </c:ser>
        <c:ser>
          <c:idx val="3"/>
          <c:order val="5"/>
          <c:tx>
            <c:strRef>
              <c:f>ALL!$W$13</c:f>
              <c:strCache>
                <c:ptCount val="1"/>
                <c:pt idx="0">
                  <c:v>CPU node09g (@32c)</c:v>
                </c:pt>
              </c:strCache>
            </c:strRef>
          </c:tx>
          <c:spPr>
            <a:ln w="25400" cap="rnd">
              <a:solidFill>
                <a:srgbClr val="00B0F0"/>
              </a:solidFill>
              <a:prstDash val="solid"/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ALL!$W$14:$W$22</c:f>
              <c:numCache>
                <c:formatCode>General</c:formatCode>
                <c:ptCount val="9"/>
                <c:pt idx="0">
                  <c:v>4403.61095287084</c:v>
                </c:pt>
                <c:pt idx="1">
                  <c:v>3881.71379147911</c:v>
                </c:pt>
                <c:pt idx="2">
                  <c:v>2907.56792623181</c:v>
                </c:pt>
                <c:pt idx="3">
                  <c:v>2332.35720076919</c:v>
                </c:pt>
                <c:pt idx="4">
                  <c:v>2348.50297004801</c:v>
                </c:pt>
                <c:pt idx="5">
                  <c:v>2294.53559520058</c:v>
                </c:pt>
                <c:pt idx="6">
                  <c:v>2263.03633114891</c:v>
                </c:pt>
                <c:pt idx="7">
                  <c:v>2085.28625972864</c:v>
                </c:pt>
                <c:pt idx="8">
                  <c:v>1668.65832441408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ALL!$R$13</c:f>
              <c:strCache>
                <c:ptCount val="1"/>
                <c:pt idx="0">
                  <c:v>GPU node09g (RTX A6000)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  <a:sp3d contourW="25400"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ALL!$R$14:$R$22</c:f>
              <c:numCache>
                <c:formatCode>General</c:formatCode>
                <c:ptCount val="9"/>
                <c:pt idx="0">
                  <c:v>4735.70915579717</c:v>
                </c:pt>
                <c:pt idx="1">
                  <c:v>5183.47203207133</c:v>
                </c:pt>
                <c:pt idx="2">
                  <c:v>5223.63844186176</c:v>
                </c:pt>
                <c:pt idx="3">
                  <c:v>5501.40459635056</c:v>
                </c:pt>
                <c:pt idx="4">
                  <c:v>5436.39862814565</c:v>
                </c:pt>
                <c:pt idx="5">
                  <c:v>5383.56810033113</c:v>
                </c:pt>
                <c:pt idx="6">
                  <c:v>5411.7028768517</c:v>
                </c:pt>
                <c:pt idx="7">
                  <c:v>5086.74839998776</c:v>
                </c:pt>
                <c:pt idx="8">
                  <c:v>4269.35255935544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ALL!$X$13</c:f>
              <c:strCache>
                <c:ptCount val="1"/>
                <c:pt idx="0">
                  <c:v>CPU node08 (2x24c)</c:v>
                </c:pt>
              </c:strCache>
            </c:strRef>
          </c:tx>
          <c:spPr>
            <a:ln w="2540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ALL!$X$14:$X$22</c:f>
              <c:numCache>
                <c:formatCode>General</c:formatCode>
                <c:ptCount val="9"/>
                <c:pt idx="0">
                  <c:v>4728.76754578401</c:v>
                </c:pt>
                <c:pt idx="1">
                  <c:v>3557.09993559165</c:v>
                </c:pt>
                <c:pt idx="2">
                  <c:v>2598.41841672586</c:v>
                </c:pt>
                <c:pt idx="3">
                  <c:v>2471.71465821564</c:v>
                </c:pt>
                <c:pt idx="4">
                  <c:v>2133.73485064786</c:v>
                </c:pt>
                <c:pt idx="5">
                  <c:v>2036.73999787641</c:v>
                </c:pt>
                <c:pt idx="6">
                  <c:v>2002.96224350197</c:v>
                </c:pt>
                <c:pt idx="7">
                  <c:v>1854.90296468558</c:v>
                </c:pt>
                <c:pt idx="8">
                  <c:v>1358.29620781349</c:v>
                </c:pt>
              </c:numCache>
            </c:numRef>
          </c:yVal>
          <c:smooth val="0"/>
        </c:ser>
        <c:ser>
          <c:idx val="5"/>
          <c:order val="8"/>
          <c:tx>
            <c:strRef>
              <c:f>ALL!$S$13</c:f>
              <c:strCache>
                <c:ptCount val="1"/>
                <c:pt idx="0">
                  <c:v>GPU desktop PC (RTX 3060)</c:v>
                </c:pt>
              </c:strCache>
            </c:strRef>
          </c:tx>
          <c:spPr>
            <a:ln w="25400" cap="rnd">
              <a:solidFill>
                <a:srgbClr val="F333E3"/>
              </a:solidFill>
              <a:round/>
            </a:ln>
            <a:effectLst/>
            <a:sp3d contourW="25400"/>
          </c:spPr>
          <c:marker>
            <c:symbol val="star"/>
            <c:size val="5"/>
            <c:spPr>
              <a:noFill/>
              <a:ln w="9525">
                <a:solidFill>
                  <a:srgbClr val="F333E3"/>
                </a:solidFill>
              </a:ln>
              <a:effectLst/>
            </c:spPr>
          </c:marker>
          <c:dLbls>
            <c:delete val="1"/>
          </c:dLbls>
          <c:xVal>
            <c:numRef>
              <c:f>ALL!$C$14:$C$20</c:f>
              <c:numCache>
                <c:formatCode>#,##0_ </c:formatCode>
                <c:ptCount val="7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</c:numCache>
            </c:numRef>
          </c:xVal>
          <c:yVal>
            <c:numRef>
              <c:f>ALL!$S$14:$S$20</c:f>
              <c:numCache>
                <c:formatCode>General</c:formatCode>
                <c:ptCount val="7"/>
                <c:pt idx="0">
                  <c:v>2162.59185632136</c:v>
                </c:pt>
                <c:pt idx="1">
                  <c:v>2255.44972647642</c:v>
                </c:pt>
                <c:pt idx="2">
                  <c:v>2227.98314310959</c:v>
                </c:pt>
                <c:pt idx="3">
                  <c:v>2292.36860516595</c:v>
                </c:pt>
                <c:pt idx="4">
                  <c:v>2236.90450426115</c:v>
                </c:pt>
                <c:pt idx="5">
                  <c:v>2169.12212389953</c:v>
                </c:pt>
                <c:pt idx="6">
                  <c:v>2168.67857003218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10"/>
                <c:tx>
                  <c:strRef>
                    <c:extLst>
                      <c:ext uri="{02D57815-91ED-43cb-92C2-25804820EDAC}">
                        <c15:formulaRef>
                          <c15:sqref>ALL!$T$13</c15:sqref>
                        </c15:formulaRef>
                      </c:ext>
                    </c:extLst>
                    <c:strCache>
                      <c:ptCount val="1"/>
                      <c:pt idx="0">
                        <c:v>FORERUNNER1 (112c)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2845.94179284172</c:v>
                      </c:pt>
                      <c:pt idx="1">
                        <c:v>4226.18760406558</c:v>
                      </c:pt>
                      <c:pt idx="2">
                        <c:v>3404.7996877189</c:v>
                      </c:pt>
                      <c:pt idx="3">
                        <c:v>2439.08567075582</c:v>
                      </c:pt>
                      <c:pt idx="4">
                        <c:v>2017.57936614415</c:v>
                      </c:pt>
                      <c:pt idx="5">
                        <c:v>1794.84926659753</c:v>
                      </c:pt>
                      <c:pt idx="6">
                        <c:v>1693.80196192389</c:v>
                      </c:pt>
                      <c:pt idx="7">
                        <c:v>1758.21597383445</c:v>
                      </c:pt>
                      <c:pt idx="8">
                        <c:v>1490.79864592835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scatterChart>
        <c:scatterStyle val="line"/>
        <c:varyColors val="0"/>
        <c:ser>
          <c:idx val="2"/>
          <c:order val="9"/>
          <c:tx>
            <c:strRef>
              <c:f>ALL!$D$13</c:f>
              <c:strCache>
                <c:ptCount val="1"/>
                <c:pt idx="0">
                  <c:v>VRAM usage (GiB)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ALL!$D$14:$D$22</c:f>
              <c:numCache>
                <c:formatCode>#,##0.00_ </c:formatCode>
                <c:ptCount val="9"/>
                <c:pt idx="0">
                  <c:v>0.906</c:v>
                </c:pt>
                <c:pt idx="1">
                  <c:v>1.296</c:v>
                </c:pt>
                <c:pt idx="2">
                  <c:v>1.932</c:v>
                </c:pt>
                <c:pt idx="3">
                  <c:v>3.212</c:v>
                </c:pt>
                <c:pt idx="4">
                  <c:v>5.852</c:v>
                </c:pt>
                <c:pt idx="5">
                  <c:v>8.422</c:v>
                </c:pt>
                <c:pt idx="6">
                  <c:v>11.014</c:v>
                </c:pt>
                <c:pt idx="7">
                  <c:v>20.62</c:v>
                </c:pt>
                <c:pt idx="8">
                  <c:v>40.72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430691"/>
        <c:axId val="810534123"/>
      </c:scatterChart>
      <c:valAx>
        <c:axId val="984065618"/>
        <c:scaling>
          <c:orientation val="minMax"/>
          <c:max val="128500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>
                    <a:solidFill>
                      <a:schemeClr val="tx1"/>
                    </a:solidFill>
                  </a:rPr>
                  <a:t>Total number of cells (millions)</a:t>
                </a:r>
                <a:endParaRPr sz="18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2705346100466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majorUnit val="8000000"/>
        <c:minorUnit val="4000000"/>
        <c:dispUnits>
          <c:builtInUnit val="millions"/>
        </c:dispUnits>
      </c:valAx>
      <c:valAx>
        <c:axId val="192015731"/>
        <c:scaling>
          <c:orientation val="minMax"/>
          <c:max val="45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>
                    <a:solidFill>
                      <a:schemeClr val="tx1"/>
                    </a:solidFill>
                  </a:rPr>
                  <a:t>Throughput</a:t>
                </a:r>
                <a:endParaRPr sz="18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350842303370076"/>
              <c:y val="0.40862332588883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5000"/>
        <c:minorUnit val="2500"/>
      </c:valAx>
      <c:valAx>
        <c:axId val="840430691"/>
        <c:scaling>
          <c:orientation val="minMax"/>
        </c:scaling>
        <c:delete val="1"/>
        <c:axPos val="t"/>
        <c:numFmt formatCode="#,##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534123"/>
        <c:crosses val="max"/>
        <c:crossBetween val="midCat"/>
      </c:valAx>
      <c:valAx>
        <c:axId val="810534123"/>
        <c:scaling>
          <c:orientation val="minMax"/>
          <c:max val="64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>
                    <a:solidFill>
                      <a:schemeClr val="tx1"/>
                    </a:solidFill>
                  </a:rPr>
                  <a:t>VRAM usage (GiB)</a:t>
                </a:r>
                <a:endParaRPr sz="16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36735098798395"/>
              <c:y val="0.3508662191140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40430691"/>
        <c:crosses val="max"/>
        <c:crossBetween val="midCat"/>
        <c:majorUnit val="4"/>
        <c:min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delete val="1"/>
      </c:legendEntry>
      <c:layout>
        <c:manualLayout>
          <c:xMode val="edge"/>
          <c:yMode val="edge"/>
          <c:x val="0.200836820083682"/>
          <c:y val="0.331309849521204"/>
          <c:w val="0.462853352382896"/>
          <c:h val="0.16954514363885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Scalability of TIGER-F with a single MPI process (local machines)</a:t>
            </a:r>
            <a:endParaRPr sz="1600" b="1">
              <a:solidFill>
                <a:schemeClr val="tx1"/>
              </a:solidFill>
            </a:endParaRPr>
          </a:p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" b="0">
                <a:solidFill>
                  <a:schemeClr val="tx1"/>
                </a:solidFill>
              </a:rPr>
              <a:t>(Throughput = Processing rate)</a:t>
            </a:r>
            <a:endParaRPr sz="1400" b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5575882114406"/>
          <c:y val="0.02949256846745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4646022451953"/>
          <c:y val="0.143698544416955"/>
          <c:w val="0.760093744949087"/>
          <c:h val="0.696243415580815"/>
        </c:manualLayout>
      </c:layout>
      <c:scatterChart>
        <c:scatterStyle val="lineMarker"/>
        <c:varyColors val="0"/>
        <c:ser>
          <c:idx val="6"/>
          <c:order val="3"/>
          <c:tx>
            <c:strRef>
              <c:f>ALL!$R$13</c:f>
              <c:strCache>
                <c:ptCount val="1"/>
                <c:pt idx="0">
                  <c:v>GPU node09g (RTX A6000)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  <a:sp3d contourW="25400"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elete val="1"/>
          </c:dLbls>
          <c:xVal>
            <c:numRef>
              <c:f>ALL!$C$14:$C$21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ALL!$R$14:$R$21</c:f>
              <c:numCache>
                <c:formatCode>General</c:formatCode>
                <c:ptCount val="8"/>
                <c:pt idx="0">
                  <c:v>4735.70915579717</c:v>
                </c:pt>
                <c:pt idx="1">
                  <c:v>5183.47203207133</c:v>
                </c:pt>
                <c:pt idx="2">
                  <c:v>5223.63844186176</c:v>
                </c:pt>
                <c:pt idx="3">
                  <c:v>5501.40459635056</c:v>
                </c:pt>
                <c:pt idx="4">
                  <c:v>5436.39862814565</c:v>
                </c:pt>
                <c:pt idx="5">
                  <c:v>5383.56810033113</c:v>
                </c:pt>
                <c:pt idx="6">
                  <c:v>5411.7028768517</c:v>
                </c:pt>
                <c:pt idx="7">
                  <c:v>5086.74839998776</c:v>
                </c:pt>
              </c:numCache>
            </c:numRef>
          </c:yVal>
          <c:smooth val="0"/>
        </c:ser>
        <c:ser>
          <c:idx val="5"/>
          <c:order val="4"/>
          <c:tx>
            <c:strRef>
              <c:f>ALL!$S$13</c:f>
              <c:strCache>
                <c:ptCount val="1"/>
                <c:pt idx="0">
                  <c:v>GPU desktop PC (RTX 3060)</c:v>
                </c:pt>
              </c:strCache>
            </c:strRef>
          </c:tx>
          <c:spPr>
            <a:ln w="25400" cap="rnd">
              <a:solidFill>
                <a:srgbClr val="F333E3"/>
              </a:solidFill>
              <a:round/>
            </a:ln>
            <a:effectLst/>
            <a:sp3d contourW="25400"/>
          </c:spPr>
          <c:marker>
            <c:symbol val="x"/>
            <c:size val="5"/>
            <c:spPr>
              <a:noFill/>
              <a:ln w="9525">
                <a:solidFill>
                  <a:srgbClr val="F333E3"/>
                </a:solidFill>
              </a:ln>
              <a:effectLst/>
            </c:spPr>
          </c:marker>
          <c:dLbls>
            <c:delete val="1"/>
          </c:dLbls>
          <c:xVal>
            <c:numRef>
              <c:f>ALL!$C$14:$C$20</c:f>
              <c:numCache>
                <c:formatCode>#,##0_ </c:formatCode>
                <c:ptCount val="7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</c:numCache>
            </c:numRef>
          </c:xVal>
          <c:yVal>
            <c:numRef>
              <c:f>ALL!$S$14:$S$20</c:f>
              <c:numCache>
                <c:formatCode>General</c:formatCode>
                <c:ptCount val="7"/>
                <c:pt idx="0">
                  <c:v>2162.59185632136</c:v>
                </c:pt>
                <c:pt idx="1">
                  <c:v>2255.44972647642</c:v>
                </c:pt>
                <c:pt idx="2">
                  <c:v>2227.98314310959</c:v>
                </c:pt>
                <c:pt idx="3">
                  <c:v>2292.36860516595</c:v>
                </c:pt>
                <c:pt idx="4">
                  <c:v>2236.90450426115</c:v>
                </c:pt>
                <c:pt idx="5">
                  <c:v>2169.12212389953</c:v>
                </c:pt>
                <c:pt idx="6">
                  <c:v>2168.67857003218</c:v>
                </c:pt>
              </c:numCache>
            </c:numRef>
          </c:yVal>
          <c:smooth val="0"/>
        </c:ser>
        <c:ser>
          <c:idx val="9"/>
          <c:order val="6"/>
          <c:tx>
            <c:strRef>
              <c:f>ALL!$U$13</c:f>
              <c:strCache>
                <c:ptCount val="1"/>
                <c:pt idx="0">
                  <c:v>FORERUNNER1 (8x14c)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xVal>
            <c:numRef>
              <c:f>{993600,2111984,4077216,7983668,16095120,24039400,32202144,63780000,128392704}</c:f>
              <c:numCache>
                <c:formatCode>General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ALL!$U$14:$U$22</c:f>
              <c:numCache>
                <c:formatCode>General</c:formatCode>
                <c:ptCount val="9"/>
                <c:pt idx="0">
                  <c:v>15856.6896144117</c:v>
                </c:pt>
                <c:pt idx="1">
                  <c:v>12765.5659167681</c:v>
                </c:pt>
                <c:pt idx="2">
                  <c:v>11259.1663658696</c:v>
                </c:pt>
                <c:pt idx="3">
                  <c:v>8927.69930008301</c:v>
                </c:pt>
                <c:pt idx="4">
                  <c:v>6999.41942006449</c:v>
                </c:pt>
                <c:pt idx="5">
                  <c:v>6114.51547512206</c:v>
                </c:pt>
                <c:pt idx="6">
                  <c:v>5782.39880403405</c:v>
                </c:pt>
                <c:pt idx="7">
                  <c:v>5318.20733737258</c:v>
                </c:pt>
                <c:pt idx="8">
                  <c:v>5258.05302749485</c:v>
                </c:pt>
              </c:numCache>
            </c:numRef>
          </c:yVal>
          <c:smooth val="0"/>
        </c:ser>
        <c:ser>
          <c:idx val="10"/>
          <c:order val="7"/>
          <c:tx>
            <c:strRef>
              <c:f>ALL!$V$13</c:f>
              <c:strCache>
                <c:ptCount val="1"/>
                <c:pt idx="0">
                  <c:v>TAIWANIA 3 (2x28c)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xVal>
            <c:numRef>
              <c:f>{993600,2111984,4077216,7983668,16095120,24039400,32202144,63780000,128392704}</c:f>
              <c:numCache>
                <c:formatCode>General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ALL!$V$14:$V$22</c:f>
              <c:numCache>
                <c:formatCode>General</c:formatCode>
                <c:ptCount val="9"/>
                <c:pt idx="0">
                  <c:v>5513.03412845968</c:v>
                </c:pt>
                <c:pt idx="1">
                  <c:v>4477.31256058868</c:v>
                </c:pt>
                <c:pt idx="2">
                  <c:v>3564.57307240486</c:v>
                </c:pt>
                <c:pt idx="3">
                  <c:v>3133.32528241806</c:v>
                </c:pt>
                <c:pt idx="4">
                  <c:v>2886.9741256683</c:v>
                </c:pt>
                <c:pt idx="5">
                  <c:v>2882.51328531096</c:v>
                </c:pt>
                <c:pt idx="6">
                  <c:v>2821.9646011501</c:v>
                </c:pt>
                <c:pt idx="7">
                  <c:v>2778.77606884649</c:v>
                </c:pt>
                <c:pt idx="8">
                  <c:v>2725.24967893912</c:v>
                </c:pt>
              </c:numCache>
            </c:numRef>
          </c:yVal>
          <c:smooth val="0"/>
        </c:ser>
        <c:ser>
          <c:idx val="3"/>
          <c:order val="8"/>
          <c:tx>
            <c:strRef>
              <c:f>ALL!$W$13</c:f>
              <c:strCache>
                <c:ptCount val="1"/>
                <c:pt idx="0">
                  <c:v>CPU node09g (@32c)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ALL!$W$14:$W$22</c:f>
              <c:numCache>
                <c:formatCode>General</c:formatCode>
                <c:ptCount val="9"/>
                <c:pt idx="0">
                  <c:v>4403.61095287084</c:v>
                </c:pt>
                <c:pt idx="1">
                  <c:v>3881.71379147911</c:v>
                </c:pt>
                <c:pt idx="2">
                  <c:v>2907.56792623181</c:v>
                </c:pt>
                <c:pt idx="3">
                  <c:v>2332.35720076919</c:v>
                </c:pt>
                <c:pt idx="4">
                  <c:v>2348.50297004801</c:v>
                </c:pt>
                <c:pt idx="5">
                  <c:v>2294.53559520058</c:v>
                </c:pt>
                <c:pt idx="6">
                  <c:v>2263.03633114891</c:v>
                </c:pt>
                <c:pt idx="7">
                  <c:v>2085.28625972864</c:v>
                </c:pt>
                <c:pt idx="8">
                  <c:v>1668.65832441408</c:v>
                </c:pt>
              </c:numCache>
            </c:numRef>
          </c:yVal>
          <c:smooth val="0"/>
        </c:ser>
        <c:ser>
          <c:idx val="7"/>
          <c:order val="9"/>
          <c:tx>
            <c:strRef>
              <c:f>ALL!$X$13</c:f>
              <c:strCache>
                <c:ptCount val="1"/>
                <c:pt idx="0">
                  <c:v>CPU node08 (2x24c)</c:v>
                </c:pt>
              </c:strCache>
            </c:strRef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  <a:sp3d contourW="25400"/>
          </c:spPr>
          <c:marker>
            <c:symbol val="none"/>
          </c:marker>
          <c:dLbls>
            <c:delete val="1"/>
          </c:dLbls>
          <c:xVal>
            <c:numRef>
              <c:f>ALL!$C$14:$C$22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ALL!$X$14:$X$22</c:f>
              <c:numCache>
                <c:formatCode>General</c:formatCode>
                <c:ptCount val="9"/>
                <c:pt idx="0">
                  <c:v>4728.76754578401</c:v>
                </c:pt>
                <c:pt idx="1">
                  <c:v>3557.09993559165</c:v>
                </c:pt>
                <c:pt idx="2">
                  <c:v>2598.41841672586</c:v>
                </c:pt>
                <c:pt idx="3">
                  <c:v>2471.71465821564</c:v>
                </c:pt>
                <c:pt idx="4">
                  <c:v>2133.73485064786</c:v>
                </c:pt>
                <c:pt idx="5">
                  <c:v>2036.73999787641</c:v>
                </c:pt>
                <c:pt idx="6">
                  <c:v>2002.96224350197</c:v>
                </c:pt>
                <c:pt idx="7">
                  <c:v>1854.90296468558</c:v>
                </c:pt>
                <c:pt idx="8">
                  <c:v>1358.29620781349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ALL!$P$13</c15:sqref>
                        </c15:formulaRef>
                      </c:ext>
                    </c:extLst>
                    <c:strCache>
                      <c:ptCount val="1"/>
                      <c:pt idx="0">
                        <c:v>NTUT VCP (H100 HBM3)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20626.6182924151</c:v>
                      </c:pt>
                      <c:pt idx="1">
                        <c:v>28128.3252162969</c:v>
                      </c:pt>
                      <c:pt idx="2">
                        <c:v>31940.300891563</c:v>
                      </c:pt>
                      <c:pt idx="3">
                        <c:v>37690.3941374616</c:v>
                      </c:pt>
                      <c:pt idx="4">
                        <c:v>37860.3547187275</c:v>
                      </c:pt>
                      <c:pt idx="5">
                        <c:v>38553.7213116001</c:v>
                      </c:pt>
                      <c:pt idx="6">
                        <c:v>38704.3858420187</c:v>
                      </c:pt>
                      <c:pt idx="7">
                        <c:v>40311.1565817549</c:v>
                      </c:pt>
                      <c:pt idx="8">
                        <c:v>36687.1283112404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ALL!$O$13</c15:sqref>
                        </c15:formulaRef>
                      </c:ext>
                    </c:extLst>
                    <c:strCache>
                      <c:ptCount val="1"/>
                      <c:pt idx="0">
                        <c:v>NANO 5 (H100 HBM2e)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diamond"/>
                  <c:size val="7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19299.4015366609</c:v>
                      </c:pt>
                      <c:pt idx="1">
                        <c:v>26885.712141852</c:v>
                      </c:pt>
                      <c:pt idx="2">
                        <c:v>30775.0454001056</c:v>
                      </c:pt>
                      <c:pt idx="3">
                        <c:v>37110.1061507087</c:v>
                      </c:pt>
                      <c:pt idx="4">
                        <c:v>37506.022805676</c:v>
                      </c:pt>
                      <c:pt idx="5">
                        <c:v>38283.610954338</c:v>
                      </c:pt>
                      <c:pt idx="6">
                        <c:v>38218.4979158332</c:v>
                      </c:pt>
                      <c:pt idx="7">
                        <c:v>39836.1744949108</c:v>
                      </c:pt>
                      <c:pt idx="8">
                        <c:v>36356.5599466297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ALL!$Q$13</c15:sqref>
                        </c15:formulaRef>
                      </c:ext>
                    </c:extLst>
                    <c:strCache>
                      <c:ptCount val="1"/>
                      <c:pt idx="0">
                        <c:v>TAIWANIA 2 (V100 HBM2)</c:v>
                      </c:pt>
                    </c:strCache>
                  </c:strRef>
                </c:tx>
                <c:spPr>
                  <a:ln w="25400" cap="rnd">
                    <a:solidFill>
                      <a:schemeClr val="accent1"/>
                    </a:solidFill>
                    <a:round/>
                  </a:ln>
                  <a:effectLst/>
                  <a:sp3d contourW="25400"/>
                </c:spPr>
                <c:marker>
                  <c:symbol val="triangle"/>
                  <c:size val="6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8"/>
                      <c:pt idx="0">
                        <c:v>7973.81935411204</c:v>
                      </c:pt>
                      <c:pt idx="1">
                        <c:v>9561.87880678355</c:v>
                      </c:pt>
                      <c:pt idx="2">
                        <c:v>9859.09559317052</c:v>
                      </c:pt>
                      <c:pt idx="3">
                        <c:v>10860.4373324792</c:v>
                      </c:pt>
                      <c:pt idx="4">
                        <c:v>10800.4744462533</c:v>
                      </c:pt>
                      <c:pt idx="5">
                        <c:v>10583.5078395288</c:v>
                      </c:pt>
                      <c:pt idx="6">
                        <c:v>10722.0858932397</c:v>
                      </c:pt>
                      <c:pt idx="7">
                        <c:v>9754.8619776346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8"/>
                <c:order val="5"/>
                <c:tx>
                  <c:strRef>
                    <c:extLst>
                      <c:ext uri="{02D57815-91ED-43cb-92C2-25804820EDAC}">
                        <c15:formulaRef>
                          <c15:sqref>ALL!$T$13</c15:sqref>
                        </c15:formulaRef>
                      </c:ext>
                    </c:extLst>
                    <c:strCache>
                      <c:ptCount val="1"/>
                      <c:pt idx="0">
                        <c:v>FORERUNNER1 (112c)</c:v>
                      </c:pt>
                    </c:strCache>
                  </c:strRef>
                </c:tx>
                <c:spPr>
                  <a:ln w="25400" cap="rnd">
                    <a:solidFill>
                      <a:schemeClr val="accent4"/>
                    </a:solidFill>
                    <a:round/>
                  </a:ln>
                  <a:effectLst/>
                  <a:sp3d contourW="25400"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2845.94179284172</c:v>
                      </c:pt>
                      <c:pt idx="1">
                        <c:v>4226.18760406558</c:v>
                      </c:pt>
                      <c:pt idx="2">
                        <c:v>3404.7996877189</c:v>
                      </c:pt>
                      <c:pt idx="3">
                        <c:v>2439.08567075582</c:v>
                      </c:pt>
                      <c:pt idx="4">
                        <c:v>2017.57936614415</c:v>
                      </c:pt>
                      <c:pt idx="5">
                        <c:v>1794.84926659753</c:v>
                      </c:pt>
                      <c:pt idx="6">
                        <c:v>1693.80196192389</c:v>
                      </c:pt>
                      <c:pt idx="7">
                        <c:v>1758.21597383445</c:v>
                      </c:pt>
                      <c:pt idx="8">
                        <c:v>1490.79864592835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scatterChart>
        <c:scatterStyle val="line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40430691"/>
        <c:axId val="81053412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0"/>
                <c:tx>
                  <c:strRef>
                    <c:extLst>
                      <c:ext uri="{02D57815-91ED-43cb-92C2-25804820EDAC}">
                        <c15:formulaRef>
                          <c15:sqref>ALL!$D$13</c15:sqref>
                        </c15:formulaRef>
                      </c:ext>
                    </c:extLst>
                    <c:strCache>
                      <c:ptCount val="1"/>
                      <c:pt idx="0">
                        <c:v>VRAM usage (GiB)</c:v>
                      </c:pt>
                    </c:strCache>
                  </c:strRef>
                </c:tx>
                <c:spPr>
                  <a:ln w="19050" cap="rnd">
                    <a:solidFill>
                      <a:schemeClr val="tx1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0.906</c:v>
                      </c:pt>
                      <c:pt idx="1">
                        <c:v>1.296</c:v>
                      </c:pt>
                      <c:pt idx="2">
                        <c:v>1.932</c:v>
                      </c:pt>
                      <c:pt idx="3">
                        <c:v>3.212</c:v>
                      </c:pt>
                      <c:pt idx="4">
                        <c:v>5.852</c:v>
                      </c:pt>
                      <c:pt idx="5">
                        <c:v>8.422</c:v>
                      </c:pt>
                      <c:pt idx="6">
                        <c:v>11.014</c:v>
                      </c:pt>
                      <c:pt idx="7">
                        <c:v>20.62</c:v>
                      </c:pt>
                      <c:pt idx="8">
                        <c:v>40.72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984065618"/>
        <c:scaling>
          <c:orientation val="minMax"/>
          <c:max val="64000000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>
                    <a:solidFill>
                      <a:schemeClr val="tx1"/>
                    </a:solidFill>
                  </a:rPr>
                  <a:t>Number of mesh (millions)</a:t>
                </a:r>
                <a:endParaRPr sz="18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94508905515792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majorUnit val="4000000"/>
        <c:minorUnit val="2000000"/>
        <c:dispUnits>
          <c:builtInUnit val="millions"/>
        </c:dispUnits>
      </c:valAx>
      <c:valAx>
        <c:axId val="192015731"/>
        <c:scaling>
          <c:orientation val="minMax"/>
          <c:max val="8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800">
                    <a:solidFill>
                      <a:schemeClr val="tx1"/>
                    </a:solidFill>
                  </a:rPr>
                  <a:t>Throughput</a:t>
                </a:r>
                <a:endParaRPr sz="18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383542000539877"/>
              <c:y val="0.4119861237366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000"/>
        <c:minorUnit val="500"/>
      </c:valAx>
      <c:valAx>
        <c:axId val="840430691"/>
        <c:scaling>
          <c:orientation val="minMax"/>
        </c:scaling>
        <c:delete val="1"/>
        <c:axPos val="t"/>
        <c:numFmt formatCode="#,##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534123"/>
        <c:crosses val="max"/>
        <c:crossBetween val="midCat"/>
      </c:valAx>
      <c:valAx>
        <c:axId val="810534123"/>
        <c:scaling>
          <c:orientation val="minMax"/>
          <c:max val="48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>
                    <a:solidFill>
                      <a:schemeClr val="tx1"/>
                    </a:solidFill>
                  </a:rPr>
                  <a:t>VRAM usage (GiB)</a:t>
                </a:r>
                <a:endParaRPr sz="16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34583840278067"/>
              <c:y val="0.3508662191140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40430691"/>
        <c:crosses val="max"/>
        <c:crossBetween val="midCat"/>
        <c:majorUnit val="4"/>
        <c:min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552584085315833"/>
          <c:y val="0.156357684355617"/>
          <c:w val="0.329887886245556"/>
          <c:h val="0.1678152997932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Throughput vs number of mesh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0262872252583"/>
          <c:y val="0.020762783789518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15354204509"/>
          <c:y val="0.151912032497549"/>
          <c:w val="0.787498664387221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'Taiwania 2'!$H$10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2'!$H$11:$H$18</c:f>
              <c:numCache>
                <c:formatCode>General</c:formatCode>
                <c:ptCount val="8"/>
                <c:pt idx="0">
                  <c:v>7973.81935411204</c:v>
                </c:pt>
                <c:pt idx="1">
                  <c:v>9561.87880678355</c:v>
                </c:pt>
                <c:pt idx="2">
                  <c:v>9859.09559317052</c:v>
                </c:pt>
                <c:pt idx="3">
                  <c:v>10860.4373324792</c:v>
                </c:pt>
                <c:pt idx="4">
                  <c:v>10800.4744462533</c:v>
                </c:pt>
                <c:pt idx="5">
                  <c:v>10583.5078395288</c:v>
                </c:pt>
                <c:pt idx="6">
                  <c:v>10722.0858932397</c:v>
                </c:pt>
                <c:pt idx="7">
                  <c:v>9754.8619776346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'Taiwania 2'!$I$10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2'!$I$11:$I$18</c:f>
              <c:numCache>
                <c:formatCode>General</c:formatCode>
                <c:ptCount val="8"/>
                <c:pt idx="0">
                  <c:v>9333.79388049669</c:v>
                </c:pt>
                <c:pt idx="1">
                  <c:v>13127.5306565602</c:v>
                </c:pt>
                <c:pt idx="2">
                  <c:v>15087.2660752544</c:v>
                </c:pt>
                <c:pt idx="3">
                  <c:v>18091.7083295824</c:v>
                </c:pt>
                <c:pt idx="4">
                  <c:v>18720.7048252354</c:v>
                </c:pt>
                <c:pt idx="5">
                  <c:v>19008.3956790823</c:v>
                </c:pt>
                <c:pt idx="6">
                  <c:v>19287.8729284588</c:v>
                </c:pt>
                <c:pt idx="7">
                  <c:v>19698.7796647219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'Taiwania 2'!$J$10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2'!$J$11:$J$18</c:f>
              <c:numCache>
                <c:formatCode>General</c:formatCode>
                <c:ptCount val="8"/>
                <c:pt idx="0">
                  <c:v>11366.4363453959</c:v>
                </c:pt>
                <c:pt idx="1">
                  <c:v>17906.6418971311</c:v>
                </c:pt>
                <c:pt idx="2">
                  <c:v>22092.4448376583</c:v>
                </c:pt>
                <c:pt idx="3">
                  <c:v>28740.0526141762</c:v>
                </c:pt>
                <c:pt idx="4">
                  <c:v>31988.6114960979</c:v>
                </c:pt>
                <c:pt idx="5">
                  <c:v>33644.1812838472</c:v>
                </c:pt>
                <c:pt idx="6">
                  <c:v>34544.3764309581</c:v>
                </c:pt>
                <c:pt idx="7">
                  <c:v>36197.569223369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'Taiwania 2'!$K$10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2'!$K$11:$K$18</c:f>
              <c:numCache>
                <c:formatCode>General</c:formatCode>
                <c:ptCount val="8"/>
                <c:pt idx="0">
                  <c:v>12966.8327210723</c:v>
                </c:pt>
                <c:pt idx="1">
                  <c:v>22218.3320720948</c:v>
                </c:pt>
                <c:pt idx="2">
                  <c:v>30821.2888899819</c:v>
                </c:pt>
                <c:pt idx="3">
                  <c:v>43415.7786508276</c:v>
                </c:pt>
                <c:pt idx="4">
                  <c:v>50286.6212726395</c:v>
                </c:pt>
                <c:pt idx="5">
                  <c:v>53492.1149315766</c:v>
                </c:pt>
                <c:pt idx="6">
                  <c:v>56762.7252060802</c:v>
                </c:pt>
                <c:pt idx="7">
                  <c:v>60455.269990836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Total number of cells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65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Throughput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5000"/>
        <c:minorUnit val="25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35831257209495"/>
          <c:y val="0.22235479348742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Speedup wrt. 1 GPU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988940764295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8013876843018"/>
          <c:y val="0.151883609783525"/>
          <c:w val="0.816587163920208"/>
          <c:h val="0.696190610064661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'Taiwania 2'!$M$10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2'!$M$11:$M$18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'Taiwania 2'!$I$10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2'!$N$11:$N$18</c:f>
              <c:numCache>
                <c:formatCode>General</c:formatCode>
                <c:ptCount val="8"/>
                <c:pt idx="0">
                  <c:v>1.17055497070965</c:v>
                </c:pt>
                <c:pt idx="1">
                  <c:v>1.37290284909772</c:v>
                </c:pt>
                <c:pt idx="2">
                  <c:v>1.53028905467815</c:v>
                </c:pt>
                <c:pt idx="3">
                  <c:v>1.66583607784167</c:v>
                </c:pt>
                <c:pt idx="4">
                  <c:v>1.73332244971235</c:v>
                </c:pt>
                <c:pt idx="5">
                  <c:v>1.79603926857662</c:v>
                </c:pt>
                <c:pt idx="6">
                  <c:v>1.79889185001025</c:v>
                </c:pt>
                <c:pt idx="7">
                  <c:v>2.01938066472762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'Taiwania 2'!$J$10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2'!$O$11:$O$18</c:f>
              <c:numCache>
                <c:formatCode>General</c:formatCode>
                <c:ptCount val="8"/>
                <c:pt idx="0">
                  <c:v>1.42546950722358</c:v>
                </c:pt>
                <c:pt idx="1">
                  <c:v>1.87271165625185</c:v>
                </c:pt>
                <c:pt idx="2">
                  <c:v>2.24081860540656</c:v>
                </c:pt>
                <c:pt idx="3">
                  <c:v>2.64630711769094</c:v>
                </c:pt>
                <c:pt idx="4">
                  <c:v>2.96177836031961</c:v>
                </c:pt>
                <c:pt idx="5">
                  <c:v>3.17892534252094</c:v>
                </c:pt>
                <c:pt idx="6">
                  <c:v>3.22179627872019</c:v>
                </c:pt>
                <c:pt idx="7">
                  <c:v>3.71072079813746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'Taiwania 2'!$P$10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2'!$P$11:$P$18</c:f>
              <c:numCache>
                <c:formatCode>General</c:formatCode>
                <c:ptCount val="8"/>
                <c:pt idx="0">
                  <c:v>1.62617588199881</c:v>
                </c:pt>
                <c:pt idx="1">
                  <c:v>2.32363665353427</c:v>
                </c:pt>
                <c:pt idx="2">
                  <c:v>3.12617811631039</c:v>
                </c:pt>
                <c:pt idx="3">
                  <c:v>3.99760868938383</c:v>
                </c:pt>
                <c:pt idx="4">
                  <c:v>4.65596409888124</c:v>
                </c:pt>
                <c:pt idx="5">
                  <c:v>5.05428972535801</c:v>
                </c:pt>
                <c:pt idx="6">
                  <c:v>5.29400023197622</c:v>
                </c:pt>
                <c:pt idx="7">
                  <c:v>6.19745006433145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7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Speedup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54029213157049"/>
          <c:y val="0.1759312119071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cost ratio wrt. 1 GPU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394279959802"/>
          <c:y val="0.0239987645524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87705559906"/>
          <c:y val="0.154293318391932"/>
          <c:w val="0.828719655442443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'Taiwania 2'!$H$10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2'!$R$11:$R$18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'Taiwania 2'!$I$10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2'!$S$11:$S$18</c:f>
              <c:numCache>
                <c:formatCode>General</c:formatCode>
                <c:ptCount val="8"/>
                <c:pt idx="0">
                  <c:v>1.7085912665746</c:v>
                </c:pt>
                <c:pt idx="1">
                  <c:v>1.4567673170133</c:v>
                </c:pt>
                <c:pt idx="2">
                  <c:v>1.30694262883599</c:v>
                </c:pt>
                <c:pt idx="3">
                  <c:v>1.2005983221298</c:v>
                </c:pt>
                <c:pt idx="4">
                  <c:v>1.15385339890561</c:v>
                </c:pt>
                <c:pt idx="5">
                  <c:v>1.11356139867979</c:v>
                </c:pt>
                <c:pt idx="6">
                  <c:v>1.11179557569767</c:v>
                </c:pt>
                <c:pt idx="7">
                  <c:v>0.990402668963739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'Taiwania 2'!$J$10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2'!$T$11:$T$18</c:f>
              <c:numCache>
                <c:formatCode>General</c:formatCode>
                <c:ptCount val="8"/>
                <c:pt idx="0">
                  <c:v>2.80609299583749</c:v>
                </c:pt>
                <c:pt idx="1">
                  <c:v>2.13594014147689</c:v>
                </c:pt>
                <c:pt idx="2">
                  <c:v>1.78506193689617</c:v>
                </c:pt>
                <c:pt idx="3">
                  <c:v>1.51154035495708</c:v>
                </c:pt>
                <c:pt idx="4">
                  <c:v>1.3505399504534</c:v>
                </c:pt>
                <c:pt idx="5">
                  <c:v>1.25828686395886</c:v>
                </c:pt>
                <c:pt idx="6">
                  <c:v>1.24154342917949</c:v>
                </c:pt>
                <c:pt idx="7">
                  <c:v>1.0779576846654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'Taiwania 2'!$U$10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2'!$U$11:$U$18</c:f>
              <c:numCache>
                <c:formatCode>General</c:formatCode>
                <c:ptCount val="8"/>
                <c:pt idx="0">
                  <c:v>4.91951706365662</c:v>
                </c:pt>
                <c:pt idx="1">
                  <c:v>3.4428790696824</c:v>
                </c:pt>
                <c:pt idx="2">
                  <c:v>2.55903525082628</c:v>
                </c:pt>
                <c:pt idx="3">
                  <c:v>2.00119637053147</c:v>
                </c:pt>
                <c:pt idx="4">
                  <c:v>1.71822630718357</c:v>
                </c:pt>
                <c:pt idx="5">
                  <c:v>1.58281389368381</c:v>
                </c:pt>
                <c:pt idx="6">
                  <c:v>1.51114462588787</c:v>
                </c:pt>
                <c:pt idx="7">
                  <c:v>1.29085348279656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cost ratio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86548339140064"/>
          <c:y val="0.1780980634698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Effectiveness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394279959802"/>
          <c:y val="0.0239987645524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241318422602"/>
          <c:y val="0.151912032497549"/>
          <c:w val="0.834432018834609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'Taiwania 2'!$H$10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2'!$W$11:$W$18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'Taiwania 2'!$I$10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2'!$X$11:$X$18</c:f>
              <c:numCache>
                <c:formatCode>General</c:formatCode>
                <c:ptCount val="8"/>
                <c:pt idx="0">
                  <c:v>0.685099469726539</c:v>
                </c:pt>
                <c:pt idx="1">
                  <c:v>0.942431116530314</c:v>
                </c:pt>
                <c:pt idx="2">
                  <c:v>1.17089229543387</c:v>
                </c:pt>
                <c:pt idx="3">
                  <c:v>1.38750491911945</c:v>
                </c:pt>
                <c:pt idx="4">
                  <c:v>1.50220335733841</c:v>
                </c:pt>
                <c:pt idx="5">
                  <c:v>1.61287852713462</c:v>
                </c:pt>
                <c:pt idx="6">
                  <c:v>1.61800594401665</c:v>
                </c:pt>
                <c:pt idx="7">
                  <c:v>2.03894913453787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'Taiwania 2'!$J$10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2'!$Y$11:$Y$18</c:f>
              <c:numCache>
                <c:formatCode>General</c:formatCode>
                <c:ptCount val="8"/>
                <c:pt idx="0">
                  <c:v>0.507990829006059</c:v>
                </c:pt>
                <c:pt idx="1">
                  <c:v>0.876762236865386</c:v>
                </c:pt>
                <c:pt idx="2">
                  <c:v>1.25531700558405</c:v>
                </c:pt>
                <c:pt idx="3">
                  <c:v>1.75073534028543</c:v>
                </c:pt>
                <c:pt idx="4">
                  <c:v>2.19303276391438</c:v>
                </c:pt>
                <c:pt idx="5">
                  <c:v>2.52639158333046</c:v>
                </c:pt>
                <c:pt idx="6">
                  <c:v>2.59499281539382</c:v>
                </c:pt>
                <c:pt idx="7">
                  <c:v>3.44236221043247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'Taiwania 2'!$Z$10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2'!$Z$11:$Z$18</c:f>
              <c:numCache>
                <c:formatCode>General</c:formatCode>
                <c:ptCount val="8"/>
                <c:pt idx="0">
                  <c:v>0.330555999899326</c:v>
                </c:pt>
                <c:pt idx="1">
                  <c:v>0.674910912205995</c:v>
                </c:pt>
                <c:pt idx="2">
                  <c:v>1.22162370186225</c:v>
                </c:pt>
                <c:pt idx="3">
                  <c:v>1.99760940417964</c:v>
                </c:pt>
                <c:pt idx="4">
                  <c:v>2.70975021125888</c:v>
                </c:pt>
                <c:pt idx="5">
                  <c:v>3.19323057848244</c:v>
                </c:pt>
                <c:pt idx="6">
                  <c:v>3.50330480702053</c:v>
                </c:pt>
                <c:pt idx="7">
                  <c:v>4.80104841248524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5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speedup/cost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86548339140064"/>
          <c:y val="0.1780980634698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Speedup &amp; cost ratio wrt. 1 GPU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988940764295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0972222222222"/>
          <c:y val="0.151875"/>
          <c:w val="0.793670634920635"/>
          <c:h val="0.696208333333333"/>
        </c:manualLayout>
      </c:layout>
      <c:scatterChart>
        <c:scatterStyle val="line"/>
        <c:varyColors val="0"/>
        <c:ser>
          <c:idx val="1"/>
          <c:order val="0"/>
          <c:tx>
            <c:strRef>
              <c:f>'Taiwania 2'!$M$10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2'!$M$11:$M$18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'Taiwania 2'!$I$10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2'!$N$11:$N$18</c:f>
              <c:numCache>
                <c:formatCode>General</c:formatCode>
                <c:ptCount val="8"/>
                <c:pt idx="0">
                  <c:v>1.17055497070965</c:v>
                </c:pt>
                <c:pt idx="1">
                  <c:v>1.37290284909772</c:v>
                </c:pt>
                <c:pt idx="2">
                  <c:v>1.53028905467815</c:v>
                </c:pt>
                <c:pt idx="3">
                  <c:v>1.66583607784167</c:v>
                </c:pt>
                <c:pt idx="4">
                  <c:v>1.73332244971235</c:v>
                </c:pt>
                <c:pt idx="5">
                  <c:v>1.79603926857662</c:v>
                </c:pt>
                <c:pt idx="6">
                  <c:v>1.79889185001025</c:v>
                </c:pt>
                <c:pt idx="7">
                  <c:v>2.01938066472762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'Taiwania 2'!$J$10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2'!$O$11:$O$18</c:f>
              <c:numCache>
                <c:formatCode>General</c:formatCode>
                <c:ptCount val="8"/>
                <c:pt idx="0">
                  <c:v>1.42546950722358</c:v>
                </c:pt>
                <c:pt idx="1">
                  <c:v>1.87271165625185</c:v>
                </c:pt>
                <c:pt idx="2">
                  <c:v>2.24081860540656</c:v>
                </c:pt>
                <c:pt idx="3">
                  <c:v>2.64630711769094</c:v>
                </c:pt>
                <c:pt idx="4">
                  <c:v>2.96177836031961</c:v>
                </c:pt>
                <c:pt idx="5">
                  <c:v>3.17892534252094</c:v>
                </c:pt>
                <c:pt idx="6">
                  <c:v>3.22179627872019</c:v>
                </c:pt>
                <c:pt idx="7">
                  <c:v>3.71072079813746</c:v>
                </c:pt>
              </c:numCache>
            </c:numRef>
          </c:yVal>
          <c:smooth val="0"/>
        </c:ser>
        <c:ser>
          <c:idx val="6"/>
          <c:order val="3"/>
          <c:tx>
            <c:strRef>
              <c:f>'Taiwania 2'!$P$10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2'!$P$11:$P$18</c:f>
              <c:numCache>
                <c:formatCode>General</c:formatCode>
                <c:ptCount val="8"/>
                <c:pt idx="0">
                  <c:v>1.62617588199881</c:v>
                </c:pt>
                <c:pt idx="1">
                  <c:v>2.32363665353427</c:v>
                </c:pt>
                <c:pt idx="2">
                  <c:v>3.12617811631039</c:v>
                </c:pt>
                <c:pt idx="3">
                  <c:v>3.99760868938383</c:v>
                </c:pt>
                <c:pt idx="4">
                  <c:v>4.65596409888124</c:v>
                </c:pt>
                <c:pt idx="5">
                  <c:v>5.05428972535801</c:v>
                </c:pt>
                <c:pt idx="6">
                  <c:v>5.29400023197622</c:v>
                </c:pt>
                <c:pt idx="7">
                  <c:v>6.19745006433145</c:v>
                </c:pt>
              </c:numCache>
            </c:numRef>
          </c:yVal>
          <c:smooth val="0"/>
        </c:ser>
        <c:ser>
          <c:idx val="3"/>
          <c:order val="4"/>
          <c:tx>
            <c:strRef>
              <c:f>"""1gpu-cost"""</c:f>
              <c:strCache>
                <c:ptCount val="1"/>
                <c:pt idx="0">
                  <c:v>"1gpu-cost"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2'!$R$11:$R$18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</c:ser>
        <c:ser>
          <c:idx val="4"/>
          <c:order val="5"/>
          <c:tx>
            <c:strRef>
              <c:f>"""2gpu-cost"""</c:f>
              <c:strCache>
                <c:ptCount val="1"/>
                <c:pt idx="0">
                  <c:v>"2gpu-cost"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2'!$S$11:$S$18</c:f>
              <c:numCache>
                <c:formatCode>General</c:formatCode>
                <c:ptCount val="8"/>
                <c:pt idx="0">
                  <c:v>1.7085912665746</c:v>
                </c:pt>
                <c:pt idx="1">
                  <c:v>1.4567673170133</c:v>
                </c:pt>
                <c:pt idx="2">
                  <c:v>1.30694262883599</c:v>
                </c:pt>
                <c:pt idx="3">
                  <c:v>1.2005983221298</c:v>
                </c:pt>
                <c:pt idx="4">
                  <c:v>1.15385339890561</c:v>
                </c:pt>
                <c:pt idx="5">
                  <c:v>1.11356139867979</c:v>
                </c:pt>
                <c:pt idx="6">
                  <c:v>1.11179557569767</c:v>
                </c:pt>
                <c:pt idx="7">
                  <c:v>0.990402668963739</c:v>
                </c:pt>
              </c:numCache>
            </c:numRef>
          </c:yVal>
          <c:smooth val="0"/>
        </c:ser>
        <c:ser>
          <c:idx val="5"/>
          <c:order val="6"/>
          <c:tx>
            <c:strRef>
              <c:f>"""4gpu-cost"""</c:f>
              <c:strCache>
                <c:ptCount val="1"/>
                <c:pt idx="0">
                  <c:v>"4gpu-cost"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2'!$T$11:$T$18</c:f>
              <c:numCache>
                <c:formatCode>General</c:formatCode>
                <c:ptCount val="8"/>
                <c:pt idx="0">
                  <c:v>2.80609299583749</c:v>
                </c:pt>
                <c:pt idx="1">
                  <c:v>2.13594014147689</c:v>
                </c:pt>
                <c:pt idx="2">
                  <c:v>1.78506193689617</c:v>
                </c:pt>
                <c:pt idx="3">
                  <c:v>1.51154035495708</c:v>
                </c:pt>
                <c:pt idx="4">
                  <c:v>1.3505399504534</c:v>
                </c:pt>
                <c:pt idx="5">
                  <c:v>1.25828686395886</c:v>
                </c:pt>
                <c:pt idx="6">
                  <c:v>1.24154342917949</c:v>
                </c:pt>
                <c:pt idx="7">
                  <c:v>1.0779576846654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"""8gpu-cost"""</c:f>
              <c:strCache>
                <c:ptCount val="1"/>
                <c:pt idx="0">
                  <c:v>"8gpu-cost"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'Taiwania 2'!$C$11:$C$18</c:f>
              <c:numCache>
                <c:formatCode>#,##0_ </c:formatCode>
                <c:ptCount val="8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</c:numCache>
            </c:numRef>
          </c:xVal>
          <c:yVal>
            <c:numRef>
              <c:f>'Taiwania 2'!$U$11:$U$18</c:f>
              <c:numCache>
                <c:formatCode>General</c:formatCode>
                <c:ptCount val="8"/>
                <c:pt idx="0">
                  <c:v>4.91951706365662</c:v>
                </c:pt>
                <c:pt idx="1">
                  <c:v>3.4428790696824</c:v>
                </c:pt>
                <c:pt idx="2">
                  <c:v>2.55903525082628</c:v>
                </c:pt>
                <c:pt idx="3">
                  <c:v>2.00119637053147</c:v>
                </c:pt>
                <c:pt idx="4">
                  <c:v>1.71822630718357</c:v>
                </c:pt>
                <c:pt idx="5">
                  <c:v>1.58281389368381</c:v>
                </c:pt>
                <c:pt idx="6">
                  <c:v>1.51114462588787</c:v>
                </c:pt>
                <c:pt idx="7">
                  <c:v>1.29085348279656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Total number of cells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  <a:uFillTx/>
                  </a:rPr>
                  <a:t>Speedup or cost ratio</a:t>
                </a:r>
                <a:endParaRPr sz="1400">
                  <a:solidFill>
                    <a:schemeClr val="tx1"/>
                  </a:solidFill>
                  <a:uFillTx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65272722083096"/>
          <c:y val="0.17142806985502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Throughput vs number of mesh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133149872989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15354204509"/>
          <c:y val="0.151912032497549"/>
          <c:w val="0.787498664387221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'Nano 5'!$H$10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5'!$H$11:$H$19</c:f>
              <c:numCache>
                <c:formatCode>General</c:formatCode>
                <c:ptCount val="9"/>
                <c:pt idx="0">
                  <c:v>19299.4015366609</c:v>
                </c:pt>
                <c:pt idx="1">
                  <c:v>26885.712141852</c:v>
                </c:pt>
                <c:pt idx="2">
                  <c:v>30775.0454001056</c:v>
                </c:pt>
                <c:pt idx="3">
                  <c:v>37110.1061507087</c:v>
                </c:pt>
                <c:pt idx="4">
                  <c:v>37506.022805676</c:v>
                </c:pt>
                <c:pt idx="5">
                  <c:v>38283.610954338</c:v>
                </c:pt>
                <c:pt idx="6">
                  <c:v>38218.4979158332</c:v>
                </c:pt>
                <c:pt idx="7">
                  <c:v>39836.1744949108</c:v>
                </c:pt>
                <c:pt idx="8">
                  <c:v>36356.5599466297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'Nano 5'!$I$10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5'!$I$11:$I$19</c:f>
              <c:numCache>
                <c:formatCode>General</c:formatCode>
                <c:ptCount val="9"/>
                <c:pt idx="0">
                  <c:v>15012.132437158</c:v>
                </c:pt>
                <c:pt idx="1">
                  <c:v>28352.0723957147</c:v>
                </c:pt>
                <c:pt idx="2">
                  <c:v>38368.6235246054</c:v>
                </c:pt>
                <c:pt idx="3">
                  <c:v>50487.8462037263</c:v>
                </c:pt>
                <c:pt idx="4">
                  <c:v>57599.288655974</c:v>
                </c:pt>
                <c:pt idx="5">
                  <c:v>62777.9216716777</c:v>
                </c:pt>
                <c:pt idx="6">
                  <c:v>65898.295864677</c:v>
                </c:pt>
                <c:pt idx="7">
                  <c:v>68298.4793515489</c:v>
                </c:pt>
                <c:pt idx="8">
                  <c:v>74939.1887485007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'Nano 5'!$J$10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5'!$J$11:$J$19</c:f>
              <c:numCache>
                <c:formatCode>General</c:formatCode>
                <c:ptCount val="9"/>
                <c:pt idx="0">
                  <c:v>17540.6449401593</c:v>
                </c:pt>
                <c:pt idx="1">
                  <c:v>32889.058311955</c:v>
                </c:pt>
                <c:pt idx="2">
                  <c:v>45322.1556128945</c:v>
                </c:pt>
                <c:pt idx="3">
                  <c:v>68898.5014646386</c:v>
                </c:pt>
                <c:pt idx="4">
                  <c:v>85651.2592319596</c:v>
                </c:pt>
                <c:pt idx="5">
                  <c:v>100048.574105874</c:v>
                </c:pt>
                <c:pt idx="6">
                  <c:v>107348.943803307</c:v>
                </c:pt>
                <c:pt idx="7">
                  <c:v>119189.558001929</c:v>
                </c:pt>
                <c:pt idx="8">
                  <c:v>123894.430431475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'Nano 5'!$K$10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5'!$K$11:$K$19</c:f>
              <c:numCache>
                <c:formatCode>General</c:formatCode>
                <c:ptCount val="9"/>
                <c:pt idx="0">
                  <c:v>17824.8376227333</c:v>
                </c:pt>
                <c:pt idx="1">
                  <c:v>34938.8471563587</c:v>
                </c:pt>
                <c:pt idx="2">
                  <c:v>41134.546001211</c:v>
                </c:pt>
                <c:pt idx="3">
                  <c:v>79485.0468341625</c:v>
                </c:pt>
                <c:pt idx="4">
                  <c:v>110374.490373165</c:v>
                </c:pt>
                <c:pt idx="5">
                  <c:v>138063.179898455</c:v>
                </c:pt>
                <c:pt idx="6">
                  <c:v>156168.647581987</c:v>
                </c:pt>
                <c:pt idx="7">
                  <c:v>178651.434807547</c:v>
                </c:pt>
                <c:pt idx="8">
                  <c:v>204157.902117197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"4 GPU (TAIWANIA2 )"</c:f>
              <c:strCache>
                <c:ptCount val="1"/>
                <c:pt idx="0">
                  <c:v>4 GPU (TAIWANIA2 )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'Taiwania 2'!$J$11:$J$19</c:f>
              <c:numCache>
                <c:formatCode>General</c:formatCode>
                <c:ptCount val="9"/>
                <c:pt idx="0">
                  <c:v>11366.4363453959</c:v>
                </c:pt>
                <c:pt idx="1">
                  <c:v>17906.6418971311</c:v>
                </c:pt>
                <c:pt idx="2">
                  <c:v>22092.4448376583</c:v>
                </c:pt>
                <c:pt idx="3">
                  <c:v>28740.0526141762</c:v>
                </c:pt>
                <c:pt idx="4">
                  <c:v>31988.6114960979</c:v>
                </c:pt>
                <c:pt idx="5">
                  <c:v>33644.1812838472</c:v>
                </c:pt>
                <c:pt idx="6">
                  <c:v>34544.3764309581</c:v>
                </c:pt>
                <c:pt idx="7">
                  <c:v>36197.569223369</c:v>
                </c:pt>
                <c:pt idx="8">
                  <c:v>29724.1835323312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Total number of cells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220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Throughput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20000"/>
        <c:minorUnit val="50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delete val="1"/>
      </c:legendEntry>
      <c:layout>
        <c:manualLayout>
          <c:xMode val="edge"/>
          <c:yMode val="edge"/>
          <c:x val="0.184900371128717"/>
          <c:y val="0.168313917293116"/>
          <c:w val="0.127055581074874"/>
          <c:h val="0.20941308306485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Speedup wrt. 1 GPU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988940764295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15354204509"/>
          <c:y val="0.151912032497549"/>
          <c:w val="0.787498664387221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'Nano 5'!$M$10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5'!$M$11:$M$19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'Nano 5'!$I$10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5'!$N$11:$N$19</c:f>
              <c:numCache>
                <c:formatCode>General</c:formatCode>
                <c:ptCount val="9"/>
                <c:pt idx="0">
                  <c:v>0.777854816308223</c:v>
                </c:pt>
                <c:pt idx="1">
                  <c:v>1.054540502633</c:v>
                </c:pt>
                <c:pt idx="2">
                  <c:v>1.24674466034983</c:v>
                </c:pt>
                <c:pt idx="3">
                  <c:v>1.36048778730756</c:v>
                </c:pt>
                <c:pt idx="4">
                  <c:v>1.53573437936632</c:v>
                </c:pt>
                <c:pt idx="5">
                  <c:v>1.63981192230155</c:v>
                </c:pt>
                <c:pt idx="6">
                  <c:v>1.72425133007063</c:v>
                </c:pt>
                <c:pt idx="7">
                  <c:v>1.7144838885138</c:v>
                </c:pt>
                <c:pt idx="8">
                  <c:v>2.06122880873518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'Nano 5'!$J$10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5'!$O$11:$O$19</c:f>
              <c:numCache>
                <c:formatCode>General</c:formatCode>
                <c:ptCount val="9"/>
                <c:pt idx="0">
                  <c:v>0.908869889402491</c:v>
                </c:pt>
                <c:pt idx="1">
                  <c:v>1.22329132062519</c:v>
                </c:pt>
                <c:pt idx="2">
                  <c:v>1.47269175475332</c:v>
                </c:pt>
                <c:pt idx="3">
                  <c:v>1.85659672286663</c:v>
                </c:pt>
                <c:pt idx="4">
                  <c:v>2.28366680401521</c:v>
                </c:pt>
                <c:pt idx="5">
                  <c:v>2.61335259689074</c:v>
                </c:pt>
                <c:pt idx="6">
                  <c:v>2.80882163500294</c:v>
                </c:pt>
                <c:pt idx="7">
                  <c:v>2.99199306944385</c:v>
                </c:pt>
                <c:pt idx="8">
                  <c:v>3.40775999196152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'Nano 5'!$P$10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5'!$P$11:$P$19</c:f>
              <c:numCache>
                <c:formatCode>General</c:formatCode>
                <c:ptCount val="9"/>
                <c:pt idx="0">
                  <c:v>0.923595355476359</c:v>
                </c:pt>
                <c:pt idx="1">
                  <c:v>1.29953214450923</c:v>
                </c:pt>
                <c:pt idx="2">
                  <c:v>1.33662015657237</c:v>
                </c:pt>
                <c:pt idx="3">
                  <c:v>2.14187064061105</c:v>
                </c:pt>
                <c:pt idx="4">
                  <c:v>2.94284709805224</c:v>
                </c:pt>
                <c:pt idx="5">
                  <c:v>3.60632595663787</c:v>
                </c:pt>
                <c:pt idx="6">
                  <c:v>4.08620579296207</c:v>
                </c:pt>
                <c:pt idx="7">
                  <c:v>4.48465338533875</c:v>
                </c:pt>
                <c:pt idx="8">
                  <c:v>5.61543508013119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Speedup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89749680248493"/>
          <c:y val="0.180348608377846"/>
          <c:w val="0.126347524209757"/>
          <c:h val="0.22139443351138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cost ratio wrt. 1 GPU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394279959802"/>
          <c:y val="0.0239987645524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87705559906"/>
          <c:y val="0.154293318391932"/>
          <c:w val="0.828719655442443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'Nano 5'!$H$10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5'!$R$11:$R$19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'Nano 5'!$I$10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5'!$S$11:$S$19</c:f>
              <c:numCache>
                <c:formatCode>General</c:formatCode>
                <c:ptCount val="9"/>
                <c:pt idx="0">
                  <c:v>2.57117389783893</c:v>
                </c:pt>
                <c:pt idx="1">
                  <c:v>1.89656062996761</c:v>
                </c:pt>
                <c:pt idx="2">
                  <c:v>1.60417771465635</c:v>
                </c:pt>
                <c:pt idx="3">
                  <c:v>1.47006097273247</c:v>
                </c:pt>
                <c:pt idx="4">
                  <c:v>1.30230854167974</c:v>
                </c:pt>
                <c:pt idx="5">
                  <c:v>1.21965206667903</c:v>
                </c:pt>
                <c:pt idx="6">
                  <c:v>1.15992371014618</c:v>
                </c:pt>
                <c:pt idx="7">
                  <c:v>1.166531813684</c:v>
                </c:pt>
                <c:pt idx="8">
                  <c:v>0.970294996617696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'Nano 5'!$J$10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5'!$T$11:$T$19</c:f>
              <c:numCache>
                <c:formatCode>General</c:formatCode>
                <c:ptCount val="9"/>
                <c:pt idx="0">
                  <c:v>4.40106999543101</c:v>
                </c:pt>
                <c:pt idx="1">
                  <c:v>3.26986706482614</c:v>
                </c:pt>
                <c:pt idx="2">
                  <c:v>2.71611488764668</c:v>
                </c:pt>
                <c:pt idx="3">
                  <c:v>2.15447972666024</c:v>
                </c:pt>
                <c:pt idx="4">
                  <c:v>1.75156900865182</c:v>
                </c:pt>
                <c:pt idx="5">
                  <c:v>1.53060096244152</c:v>
                </c:pt>
                <c:pt idx="6">
                  <c:v>1.42408473010634</c:v>
                </c:pt>
                <c:pt idx="7">
                  <c:v>1.33690149247021</c:v>
                </c:pt>
                <c:pt idx="8">
                  <c:v>1.1737915843356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'Nano 5'!$U$10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5'!$U$11:$U$19</c:f>
              <c:numCache>
                <c:formatCode>General</c:formatCode>
                <c:ptCount val="9"/>
                <c:pt idx="0">
                  <c:v>8.66180189469865</c:v>
                </c:pt>
                <c:pt idx="1">
                  <c:v>6.15606165172715</c:v>
                </c:pt>
                <c:pt idx="2">
                  <c:v>5.98524566658877</c:v>
                </c:pt>
                <c:pt idx="3">
                  <c:v>3.73505283107</c:v>
                </c:pt>
                <c:pt idx="4">
                  <c:v>2.71845588080159</c:v>
                </c:pt>
                <c:pt idx="5">
                  <c:v>2.21832416043121</c:v>
                </c:pt>
                <c:pt idx="6">
                  <c:v>1.95780643593108</c:v>
                </c:pt>
                <c:pt idx="7">
                  <c:v>1.78386138517497</c:v>
                </c:pt>
                <c:pt idx="8">
                  <c:v>1.42464473114577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5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cost ratio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74855857084907"/>
          <c:y val="0.19287570183596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Effectiveness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394279959802"/>
          <c:y val="0.0239987645524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241318422602"/>
          <c:y val="0.151912032497549"/>
          <c:w val="0.834432018834609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'Nano 5'!$H$10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5'!$W$11:$W$19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'Nano 5'!$I$10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5'!$X$11:$X$19</c:f>
              <c:numCache>
                <c:formatCode>General</c:formatCode>
                <c:ptCount val="9"/>
                <c:pt idx="0">
                  <c:v>0.302529057626949</c:v>
                </c:pt>
                <c:pt idx="1">
                  <c:v>0.556027835846727</c:v>
                </c:pt>
                <c:pt idx="2">
                  <c:v>0.777186124055412</c:v>
                </c:pt>
                <c:pt idx="3">
                  <c:v>0.925463509706508</c:v>
                </c:pt>
                <c:pt idx="4">
                  <c:v>1.17924004198383</c:v>
                </c:pt>
                <c:pt idx="5">
                  <c:v>1.34449157026115</c:v>
                </c:pt>
                <c:pt idx="6">
                  <c:v>1.48652132462516</c:v>
                </c:pt>
                <c:pt idx="7">
                  <c:v>1.4697275019867</c:v>
                </c:pt>
                <c:pt idx="8">
                  <c:v>2.12433210097993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'Nano 5'!$J$10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5'!$Y$11:$Y$19</c:f>
              <c:numCache>
                <c:formatCode>General</c:formatCode>
                <c:ptCount val="9"/>
                <c:pt idx="0">
                  <c:v>0.206511118965624</c:v>
                </c:pt>
                <c:pt idx="1">
                  <c:v>0.374110413779233</c:v>
                </c:pt>
                <c:pt idx="2">
                  <c:v>0.5422052511296</c:v>
                </c:pt>
                <c:pt idx="3">
                  <c:v>0.861737847839779</c:v>
                </c:pt>
                <c:pt idx="4">
                  <c:v>1.30378351794026</c:v>
                </c:pt>
                <c:pt idx="5">
                  <c:v>1.70740294891889</c:v>
                </c:pt>
                <c:pt idx="6">
                  <c:v>1.97236974431515</c:v>
                </c:pt>
                <c:pt idx="7">
                  <c:v>2.23800563190001</c:v>
                </c:pt>
                <c:pt idx="8">
                  <c:v>2.9032070407034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'Nano 5'!$Z$10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5'!$Z$11:$Z$19</c:f>
              <c:numCache>
                <c:formatCode>General</c:formatCode>
                <c:ptCount val="9"/>
                <c:pt idx="0">
                  <c:v>0.106628547582188</c:v>
                </c:pt>
                <c:pt idx="1">
                  <c:v>0.211097974326594</c:v>
                </c:pt>
                <c:pt idx="2">
                  <c:v>0.223319180369445</c:v>
                </c:pt>
                <c:pt idx="3">
                  <c:v>0.573451230138948</c:v>
                </c:pt>
                <c:pt idx="4">
                  <c:v>1.08254363031431</c:v>
                </c:pt>
                <c:pt idx="5">
                  <c:v>1.62569836319001</c:v>
                </c:pt>
                <c:pt idx="6">
                  <c:v>2.0871347228046</c:v>
                </c:pt>
                <c:pt idx="7">
                  <c:v>2.51401449832879</c:v>
                </c:pt>
                <c:pt idx="8">
                  <c:v>3.94163889239599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4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speedup/cost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86548339140064"/>
          <c:y val="0.1780980634698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Speedup &amp; cost ratio wrt. 1 GPU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988940764295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577901430843"/>
          <c:y val="0.151875"/>
          <c:w val="0.788076311605723"/>
          <c:h val="0.696208333333333"/>
        </c:manualLayout>
      </c:layout>
      <c:scatterChart>
        <c:scatterStyle val="line"/>
        <c:varyColors val="0"/>
        <c:ser>
          <c:idx val="1"/>
          <c:order val="0"/>
          <c:tx>
            <c:strRef>
              <c:f>'Nano 5'!$M$10</c:f>
              <c:strCache>
                <c:ptCount val="1"/>
                <c:pt idx="0">
                  <c:v>1 GPU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5'!$M$11:$M$19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'Nano 5'!$I$10</c:f>
              <c:strCache>
                <c:ptCount val="1"/>
                <c:pt idx="0">
                  <c:v>2 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5'!$N$11:$N$19</c:f>
              <c:numCache>
                <c:formatCode>General</c:formatCode>
                <c:ptCount val="9"/>
                <c:pt idx="0">
                  <c:v>0.777854816308223</c:v>
                </c:pt>
                <c:pt idx="1">
                  <c:v>1.054540502633</c:v>
                </c:pt>
                <c:pt idx="2">
                  <c:v>1.24674466034983</c:v>
                </c:pt>
                <c:pt idx="3">
                  <c:v>1.36048778730756</c:v>
                </c:pt>
                <c:pt idx="4">
                  <c:v>1.53573437936632</c:v>
                </c:pt>
                <c:pt idx="5">
                  <c:v>1.63981192230155</c:v>
                </c:pt>
                <c:pt idx="6">
                  <c:v>1.72425133007063</c:v>
                </c:pt>
                <c:pt idx="7">
                  <c:v>1.7144838885138</c:v>
                </c:pt>
                <c:pt idx="8">
                  <c:v>2.06122880873518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'Nano 5'!$J$10</c:f>
              <c:strCache>
                <c:ptCount val="1"/>
                <c:pt idx="0">
                  <c:v>4 GPU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5'!$O$11:$O$19</c:f>
              <c:numCache>
                <c:formatCode>General</c:formatCode>
                <c:ptCount val="9"/>
                <c:pt idx="0">
                  <c:v>0.908869889402491</c:v>
                </c:pt>
                <c:pt idx="1">
                  <c:v>1.22329132062519</c:v>
                </c:pt>
                <c:pt idx="2">
                  <c:v>1.47269175475332</c:v>
                </c:pt>
                <c:pt idx="3">
                  <c:v>1.85659672286663</c:v>
                </c:pt>
                <c:pt idx="4">
                  <c:v>2.28366680401521</c:v>
                </c:pt>
                <c:pt idx="5">
                  <c:v>2.61335259689074</c:v>
                </c:pt>
                <c:pt idx="6">
                  <c:v>2.80882163500294</c:v>
                </c:pt>
                <c:pt idx="7">
                  <c:v>2.99199306944385</c:v>
                </c:pt>
                <c:pt idx="8">
                  <c:v>3.40775999196152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'Nano 5'!$P$10</c:f>
              <c:strCache>
                <c:ptCount val="1"/>
                <c:pt idx="0">
                  <c:v>8 GPU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5'!$P$11:$P$19</c:f>
              <c:numCache>
                <c:formatCode>General</c:formatCode>
                <c:ptCount val="9"/>
                <c:pt idx="0">
                  <c:v>0.923595355476359</c:v>
                </c:pt>
                <c:pt idx="1">
                  <c:v>1.29953214450923</c:v>
                </c:pt>
                <c:pt idx="2">
                  <c:v>1.33662015657237</c:v>
                </c:pt>
                <c:pt idx="3">
                  <c:v>2.14187064061105</c:v>
                </c:pt>
                <c:pt idx="4">
                  <c:v>2.94284709805224</c:v>
                </c:pt>
                <c:pt idx="5">
                  <c:v>3.60632595663787</c:v>
                </c:pt>
                <c:pt idx="6">
                  <c:v>4.08620579296207</c:v>
                </c:pt>
                <c:pt idx="7">
                  <c:v>4.48465338533875</c:v>
                </c:pt>
                <c:pt idx="8">
                  <c:v>5.61543508013119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"2gpu-cost"</c:f>
              <c:strCache>
                <c:ptCount val="1"/>
                <c:pt idx="0">
                  <c:v>2gpu-cost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5'!$S$11:$S$19</c:f>
              <c:numCache>
                <c:formatCode>General</c:formatCode>
                <c:ptCount val="9"/>
                <c:pt idx="0">
                  <c:v>2.57117389783893</c:v>
                </c:pt>
                <c:pt idx="1">
                  <c:v>1.89656062996761</c:v>
                </c:pt>
                <c:pt idx="2">
                  <c:v>1.60417771465635</c:v>
                </c:pt>
                <c:pt idx="3">
                  <c:v>1.47006097273247</c:v>
                </c:pt>
                <c:pt idx="4">
                  <c:v>1.30230854167974</c:v>
                </c:pt>
                <c:pt idx="5">
                  <c:v>1.21965206667903</c:v>
                </c:pt>
                <c:pt idx="6">
                  <c:v>1.15992371014618</c:v>
                </c:pt>
                <c:pt idx="7">
                  <c:v>1.166531813684</c:v>
                </c:pt>
                <c:pt idx="8">
                  <c:v>0.970294996617696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"4gpu-cost"</c:f>
              <c:strCache>
                <c:ptCount val="1"/>
                <c:pt idx="0">
                  <c:v>4gpu-cost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5'!$T$11:$T$19</c:f>
              <c:numCache>
                <c:formatCode>General</c:formatCode>
                <c:ptCount val="9"/>
                <c:pt idx="0">
                  <c:v>4.40106999543101</c:v>
                </c:pt>
                <c:pt idx="1">
                  <c:v>3.26986706482614</c:v>
                </c:pt>
                <c:pt idx="2">
                  <c:v>2.71611488764668</c:v>
                </c:pt>
                <c:pt idx="3">
                  <c:v>2.15447972666024</c:v>
                </c:pt>
                <c:pt idx="4">
                  <c:v>1.75156900865182</c:v>
                </c:pt>
                <c:pt idx="5">
                  <c:v>1.53060096244152</c:v>
                </c:pt>
                <c:pt idx="6">
                  <c:v>1.42408473010634</c:v>
                </c:pt>
                <c:pt idx="7">
                  <c:v>1.33690149247021</c:v>
                </c:pt>
                <c:pt idx="8">
                  <c:v>1.1737915843356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"8gpu-cost"</c:f>
              <c:strCache>
                <c:ptCount val="1"/>
                <c:pt idx="0">
                  <c:v>8gpu-cost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'Nano 5'!$C$11:$C$19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'Nano 5'!$U$11:$U$19</c:f>
              <c:numCache>
                <c:formatCode>General</c:formatCode>
                <c:ptCount val="9"/>
                <c:pt idx="0">
                  <c:v>8.66180189469865</c:v>
                </c:pt>
                <c:pt idx="1">
                  <c:v>6.15606165172715</c:v>
                </c:pt>
                <c:pt idx="2">
                  <c:v>5.98524566658877</c:v>
                </c:pt>
                <c:pt idx="3">
                  <c:v>3.73505283107</c:v>
                </c:pt>
                <c:pt idx="4">
                  <c:v>2.71845588080159</c:v>
                </c:pt>
                <c:pt idx="5">
                  <c:v>2.21832416043121</c:v>
                </c:pt>
                <c:pt idx="6">
                  <c:v>1.95780643593108</c:v>
                </c:pt>
                <c:pt idx="7">
                  <c:v>1.78386138517497</c:v>
                </c:pt>
                <c:pt idx="8">
                  <c:v>1.42464473114577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Total number of cells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  <a:uFillTx/>
                  </a:rPr>
                  <a:t>Speedup or cost ratio</a:t>
                </a:r>
                <a:endParaRPr sz="1400">
                  <a:solidFill>
                    <a:schemeClr val="tx1"/>
                  </a:solidFill>
                  <a:uFillTx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784828953891919"/>
          <c:y val="0.244583333333333"/>
          <c:w val="0.143083787803669"/>
          <c:h val="0.1527777777777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01334604385"/>
          <c:y val="0.126472491909385"/>
          <c:w val="0.834566253574833"/>
          <c:h val="0.686809061488673"/>
        </c:manualLayout>
      </c:layout>
      <c:scatterChart>
        <c:scatterStyle val="lineMarker"/>
        <c:varyColors val="0"/>
        <c:ser>
          <c:idx val="1"/>
          <c:order val="0"/>
          <c:tx>
            <c:strRef>
              <c:f>StrongScaling_24M!$C$6</c:f>
              <c:strCache>
                <c:ptCount val="1"/>
                <c:pt idx="0">
                  <c:v>FORERUNNER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StrongScaling_24M!$B$8:$B$20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14</c:v>
                </c:pt>
                <c:pt idx="5">
                  <c:v>20</c:v>
                </c:pt>
                <c:pt idx="6">
                  <c:v>28</c:v>
                </c:pt>
                <c:pt idx="7">
                  <c:v>42</c:v>
                </c:pt>
                <c:pt idx="8">
                  <c:v>56</c:v>
                </c:pt>
                <c:pt idx="9">
                  <c:v>70</c:v>
                </c:pt>
                <c:pt idx="10">
                  <c:v>84</c:v>
                </c:pt>
                <c:pt idx="11">
                  <c:v>98</c:v>
                </c:pt>
                <c:pt idx="12">
                  <c:v>112</c:v>
                </c:pt>
              </c:numCache>
            </c:numRef>
          </c:xVal>
          <c:yVal>
            <c:numRef>
              <c:f>StrongScaling_24M!$D$8:$D$20</c:f>
              <c:numCache>
                <c:formatCode>#,##0.00_ </c:formatCode>
                <c:ptCount val="13"/>
                <c:pt idx="0">
                  <c:v>1</c:v>
                </c:pt>
                <c:pt idx="1">
                  <c:v>2.11867894856002</c:v>
                </c:pt>
                <c:pt idx="2">
                  <c:v>4.97839255329135</c:v>
                </c:pt>
                <c:pt idx="3">
                  <c:v>7.71699201820192</c:v>
                </c:pt>
                <c:pt idx="4">
                  <c:v>8.93382218423941</c:v>
                </c:pt>
                <c:pt idx="5">
                  <c:v>13.2455339779968</c:v>
                </c:pt>
                <c:pt idx="6">
                  <c:v>13.6363392360475</c:v>
                </c:pt>
                <c:pt idx="7">
                  <c:v>20.0659544735104</c:v>
                </c:pt>
                <c:pt idx="8">
                  <c:v>23.9616878949127</c:v>
                </c:pt>
                <c:pt idx="9">
                  <c:v>32.8369647364903</c:v>
                </c:pt>
                <c:pt idx="10">
                  <c:v>39.4675241664512</c:v>
                </c:pt>
                <c:pt idx="11">
                  <c:v>46.6510184972202</c:v>
                </c:pt>
                <c:pt idx="12">
                  <c:v>50.2619813229568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StrongScaling_24M!$G$6</c:f>
              <c:strCache>
                <c:ptCount val="1"/>
                <c:pt idx="0">
                  <c:v>TAIWANIA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StrongScaling_24M!$B$8:$B$20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14</c:v>
                </c:pt>
                <c:pt idx="5">
                  <c:v>20</c:v>
                </c:pt>
                <c:pt idx="6">
                  <c:v>28</c:v>
                </c:pt>
                <c:pt idx="7">
                  <c:v>42</c:v>
                </c:pt>
                <c:pt idx="8">
                  <c:v>56</c:v>
                </c:pt>
                <c:pt idx="9">
                  <c:v>70</c:v>
                </c:pt>
                <c:pt idx="10">
                  <c:v>84</c:v>
                </c:pt>
                <c:pt idx="11">
                  <c:v>98</c:v>
                </c:pt>
                <c:pt idx="12">
                  <c:v>112</c:v>
                </c:pt>
              </c:numCache>
            </c:numRef>
          </c:xVal>
          <c:yVal>
            <c:numRef>
              <c:f>StrongScaling_24M!$H$8:$H$16</c:f>
              <c:numCache>
                <c:formatCode>#,##0.00_ </c:formatCode>
                <c:ptCount val="9"/>
                <c:pt idx="0">
                  <c:v>1</c:v>
                </c:pt>
                <c:pt idx="1">
                  <c:v>3.05319945367352</c:v>
                </c:pt>
                <c:pt idx="2">
                  <c:v>4.6121663383422</c:v>
                </c:pt>
                <c:pt idx="3">
                  <c:v>7.84072931597859</c:v>
                </c:pt>
                <c:pt idx="4">
                  <c:v>16.8853654725924</c:v>
                </c:pt>
                <c:pt idx="5">
                  <c:v>13.7260224791781</c:v>
                </c:pt>
                <c:pt idx="6">
                  <c:v>20.6827294190257</c:v>
                </c:pt>
                <c:pt idx="7">
                  <c:v>22.149180145513</c:v>
                </c:pt>
                <c:pt idx="8">
                  <c:v>30.7929962384898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"Ideal"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StrongScaling_24M!$B$8:$B$20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14</c:v>
                </c:pt>
                <c:pt idx="5">
                  <c:v>20</c:v>
                </c:pt>
                <c:pt idx="6">
                  <c:v>28</c:v>
                </c:pt>
                <c:pt idx="7">
                  <c:v>42</c:v>
                </c:pt>
                <c:pt idx="8">
                  <c:v>56</c:v>
                </c:pt>
                <c:pt idx="9">
                  <c:v>70</c:v>
                </c:pt>
                <c:pt idx="10">
                  <c:v>84</c:v>
                </c:pt>
                <c:pt idx="11">
                  <c:v>98</c:v>
                </c:pt>
                <c:pt idx="12">
                  <c:v>112</c:v>
                </c:pt>
              </c:numCache>
            </c:numRef>
          </c:xVal>
          <c:yVal>
            <c:numRef>
              <c:f>StrongScaling_24M!$B$8:$B$20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14</c:v>
                </c:pt>
                <c:pt idx="5">
                  <c:v>20</c:v>
                </c:pt>
                <c:pt idx="6">
                  <c:v>28</c:v>
                </c:pt>
                <c:pt idx="7">
                  <c:v>42</c:v>
                </c:pt>
                <c:pt idx="8">
                  <c:v>56</c:v>
                </c:pt>
                <c:pt idx="9">
                  <c:v>70</c:v>
                </c:pt>
                <c:pt idx="10">
                  <c:v>84</c:v>
                </c:pt>
                <c:pt idx="11">
                  <c:v>98</c:v>
                </c:pt>
                <c:pt idx="12">
                  <c:v>112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71077"/>
        <c:axId val="905318528"/>
      </c:scatterChart>
      <c:valAx>
        <c:axId val="518571077"/>
        <c:scaling>
          <c:orientation val="minMax"/>
          <c:max val="112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2000">
                    <a:solidFill>
                      <a:schemeClr val="tx1"/>
                    </a:solidFill>
                  </a:rPr>
                  <a:t>number of cores</a:t>
                </a:r>
                <a:endParaRPr sz="20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93441372735939"/>
              <c:y val="0.8885436893203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05318528"/>
        <c:crosses val="autoZero"/>
        <c:crossBetween val="midCat"/>
        <c:majorUnit val="14"/>
        <c:minorUnit val="7"/>
      </c:valAx>
      <c:valAx>
        <c:axId val="905318528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2000">
                    <a:solidFill>
                      <a:schemeClr val="tx1"/>
                    </a:solidFill>
                  </a:rPr>
                  <a:t>Speedup</a:t>
                </a:r>
                <a:endParaRPr sz="2000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18571077"/>
        <c:crosses val="autoZero"/>
        <c:crossBetween val="midCat"/>
        <c:majorUnit val="10"/>
        <c:minorUnit val="2"/>
      </c:valAx>
      <c:spPr>
        <a:noFill/>
        <a:ln w="12700" cmpd="sng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59280386134269"/>
          <c:y val="0.175562863647862"/>
          <c:w val="0.270403685827117"/>
          <c:h val="0.11548191247154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Throughput vs number of mesh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133149872989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15354204509"/>
          <c:y val="0.151912032497549"/>
          <c:w val="0.787498664387221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F1_multi!$H$10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F1_multi!$C$11:$C$19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F1_multi!$H$11:$H$19</c:f>
              <c:numCache>
                <c:formatCode>General</c:formatCode>
                <c:ptCount val="9"/>
                <c:pt idx="0">
                  <c:v>15856.6896144117</c:v>
                </c:pt>
                <c:pt idx="1">
                  <c:v>12765.5659167681</c:v>
                </c:pt>
                <c:pt idx="2">
                  <c:v>11259.1663658696</c:v>
                </c:pt>
                <c:pt idx="3">
                  <c:v>8927.69930008301</c:v>
                </c:pt>
                <c:pt idx="4">
                  <c:v>6999.41942006449</c:v>
                </c:pt>
                <c:pt idx="5">
                  <c:v>6114.51547512206</c:v>
                </c:pt>
                <c:pt idx="6">
                  <c:v>5782.39880403405</c:v>
                </c:pt>
                <c:pt idx="7">
                  <c:v>5318.20733737258</c:v>
                </c:pt>
                <c:pt idx="8">
                  <c:v>5258.05302749485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F1_multi!$I$10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F1_multi!$C$12:$C$19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F1_multi!$I$12:$I$19</c:f>
              <c:numCache>
                <c:formatCode>General</c:formatCode>
                <c:ptCount val="8"/>
                <c:pt idx="0">
                  <c:v>17539.4488972174</c:v>
                </c:pt>
                <c:pt idx="1">
                  <c:v>20660.4554236135</c:v>
                </c:pt>
                <c:pt idx="2">
                  <c:v>20092.4409395998</c:v>
                </c:pt>
                <c:pt idx="3">
                  <c:v>14303.9926189431</c:v>
                </c:pt>
                <c:pt idx="4">
                  <c:v>13595.0357227884</c:v>
                </c:pt>
                <c:pt idx="5">
                  <c:v>13324.4946316511</c:v>
                </c:pt>
                <c:pt idx="6">
                  <c:v>10744.3142902955</c:v>
                </c:pt>
                <c:pt idx="7">
                  <c:v>10268.9757516151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F1_multi!$J$10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F1_multi!$C$14:$C$19</c:f>
              <c:numCache>
                <c:formatCode>#,##0_ </c:formatCode>
                <c:ptCount val="6"/>
                <c:pt idx="0">
                  <c:v>7983668</c:v>
                </c:pt>
                <c:pt idx="1">
                  <c:v>16095120</c:v>
                </c:pt>
                <c:pt idx="2">
                  <c:v>24039400</c:v>
                </c:pt>
                <c:pt idx="3">
                  <c:v>32202144</c:v>
                </c:pt>
                <c:pt idx="4">
                  <c:v>63780000</c:v>
                </c:pt>
                <c:pt idx="5">
                  <c:v>128392704</c:v>
                </c:pt>
              </c:numCache>
            </c:numRef>
          </c:xVal>
          <c:yVal>
            <c:numRef>
              <c:f>F1_multi!$J$14:$J$19</c:f>
              <c:numCache>
                <c:formatCode>General</c:formatCode>
                <c:ptCount val="6"/>
                <c:pt idx="0">
                  <c:v>27039.9874328152</c:v>
                </c:pt>
                <c:pt idx="1">
                  <c:v>31457.3619402925</c:v>
                </c:pt>
                <c:pt idx="2">
                  <c:v>27652.2255512801</c:v>
                </c:pt>
                <c:pt idx="3">
                  <c:v>23774.1388687954</c:v>
                </c:pt>
                <c:pt idx="4">
                  <c:v>20087.8443658144</c:v>
                </c:pt>
                <c:pt idx="5">
                  <c:v>19413.4258186552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"1 GPU (TAIWANIA2 )"</c:f>
              <c:strCache>
                <c:ptCount val="1"/>
                <c:pt idx="0">
                  <c:v>1 GPU (TAIWANIA2 )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'Taiwania 2'!$H$11:$H$19</c:f>
              <c:numCache>
                <c:formatCode>General</c:formatCode>
                <c:ptCount val="9"/>
                <c:pt idx="0">
                  <c:v>7973.81935411204</c:v>
                </c:pt>
                <c:pt idx="1">
                  <c:v>9561.87880678355</c:v>
                </c:pt>
                <c:pt idx="2">
                  <c:v>9859.09559317052</c:v>
                </c:pt>
                <c:pt idx="3">
                  <c:v>10860.4373324792</c:v>
                </c:pt>
                <c:pt idx="4">
                  <c:v>10800.4744462533</c:v>
                </c:pt>
                <c:pt idx="5">
                  <c:v>10583.5078395288</c:v>
                </c:pt>
                <c:pt idx="6">
                  <c:v>10722.0858932397</c:v>
                </c:pt>
                <c:pt idx="7">
                  <c:v>9754.8619776346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F1_multi!$K$10</c15:sqref>
                        </c15:formulaRef>
                      </c:ext>
                    </c:extLst>
                    <c:strCache>
                      <c:ptCount val="1"/>
                      <c:pt idx="0">
                        <c:v>8 NODE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gradFill>
                      <a:gsLst>
                        <a:gs pos="0">
                          <a:srgbClr val="E30000"/>
                        </a:gs>
                        <a:gs pos="100000">
                          <a:srgbClr val="760303"/>
                        </a:gs>
                      </a:gsLst>
                      <a:lin ang="5400000" scaled="0"/>
                    </a:gra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Total number of cells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40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Throughput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0000"/>
        <c:minorUnit val="50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723301141272465"/>
          <c:y val="0.190694444444444"/>
          <c:w val="0.15578738201689"/>
          <c:h val="0.1619444444444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Speedup wrt. 1 NODE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988940764295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15354204509"/>
          <c:y val="0.151912032497549"/>
          <c:w val="0.787498664387221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F1_multi!$M$10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F1_multi!$C$11:$C$19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F1_multi!$M$11:$M$19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F1_multi!$I$10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F1_multi!$C$12:$C$19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F1_multi!$N$12:$N$19</c:f>
              <c:numCache>
                <c:formatCode>General</c:formatCode>
                <c:ptCount val="8"/>
                <c:pt idx="0">
                  <c:v>1.37396563627302</c:v>
                </c:pt>
                <c:pt idx="1">
                  <c:v>1.83498979873345</c:v>
                </c:pt>
                <c:pt idx="2">
                  <c:v>2.25057321760523</c:v>
                </c:pt>
                <c:pt idx="3">
                  <c:v>2.0435970129093</c:v>
                </c:pt>
                <c:pt idx="4">
                  <c:v>2.22340360051456</c:v>
                </c:pt>
                <c:pt idx="5">
                  <c:v>2.30431955373873</c:v>
                </c:pt>
                <c:pt idx="6">
                  <c:v>2.02028871924418</c:v>
                </c:pt>
                <c:pt idx="7">
                  <c:v>1.95299965556027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F1_multi!$J$10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F1_multi!$C$14:$C$19</c:f>
              <c:numCache>
                <c:formatCode>#,##0_ </c:formatCode>
                <c:ptCount val="6"/>
                <c:pt idx="0">
                  <c:v>7983668</c:v>
                </c:pt>
                <c:pt idx="1">
                  <c:v>16095120</c:v>
                </c:pt>
                <c:pt idx="2">
                  <c:v>24039400</c:v>
                </c:pt>
                <c:pt idx="3">
                  <c:v>32202144</c:v>
                </c:pt>
                <c:pt idx="4">
                  <c:v>63780000</c:v>
                </c:pt>
                <c:pt idx="5">
                  <c:v>128392704</c:v>
                </c:pt>
              </c:numCache>
            </c:numRef>
          </c:xVal>
          <c:yVal>
            <c:numRef>
              <c:f>F1_multi!$O$14:$O$19</c:f>
              <c:numCache>
                <c:formatCode>General</c:formatCode>
                <c:ptCount val="6"/>
                <c:pt idx="0">
                  <c:v>3.02877443828823</c:v>
                </c:pt>
                <c:pt idx="1">
                  <c:v>4.49428160428807</c:v>
                </c:pt>
                <c:pt idx="2">
                  <c:v>4.52239031265648</c:v>
                </c:pt>
                <c:pt idx="3">
                  <c:v>4.11146648207825</c:v>
                </c:pt>
                <c:pt idx="4">
                  <c:v>3.77718337994295</c:v>
                </c:pt>
                <c:pt idx="5">
                  <c:v>3.69213199584345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F1_multi!$P$10</c15:sqref>
                        </c15:formulaRef>
                      </c:ext>
                    </c:extLst>
                    <c:strCache>
                      <c:ptCount val="1"/>
                      <c:pt idx="0">
                        <c:v>8 NODE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gradFill>
                      <a:gsLst>
                        <a:gs pos="0">
                          <a:srgbClr val="E30000"/>
                        </a:gs>
                        <a:gs pos="100000">
                          <a:srgbClr val="760303"/>
                        </a:gs>
                      </a:gsLst>
                      <a:lin ang="5400000" scaled="0"/>
                    </a:gra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5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Speedup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0643216080402"/>
          <c:y val="0.166281087333719"/>
          <c:w val="0.179899497487437"/>
          <c:h val="0.1509543088490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cost ratio wrt. 1 NODE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394279959802"/>
          <c:y val="0.02190758931197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87705559906"/>
          <c:y val="0.154293318391932"/>
          <c:w val="0.828719655442443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F1_multi!$H$10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F1_multi!$C$11:$C$19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F1_multi!$R$11:$R$19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F1_multi!$I$10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F1_multi!$C$12:$C$19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F1_multi!$S$12:$S$19</c:f>
              <c:numCache>
                <c:formatCode>General</c:formatCode>
                <c:ptCount val="8"/>
                <c:pt idx="0">
                  <c:v>1.45564048124606</c:v>
                </c:pt>
                <c:pt idx="1">
                  <c:v>1.08992431531796</c:v>
                </c:pt>
                <c:pt idx="2">
                  <c:v>0.888662490229108</c:v>
                </c:pt>
                <c:pt idx="3">
                  <c:v>0.978666531300495</c:v>
                </c:pt>
                <c:pt idx="4">
                  <c:v>0.899521796014516</c:v>
                </c:pt>
                <c:pt idx="5">
                  <c:v>0.867935177113358</c:v>
                </c:pt>
                <c:pt idx="6">
                  <c:v>0.989957514957679</c:v>
                </c:pt>
                <c:pt idx="7">
                  <c:v>1.02406572080334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F1_multi!$J$10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F1_multi!$C$14:$C$19</c:f>
              <c:numCache>
                <c:formatCode>#,##0_ </c:formatCode>
                <c:ptCount val="6"/>
                <c:pt idx="0">
                  <c:v>7983668</c:v>
                </c:pt>
                <c:pt idx="1">
                  <c:v>16095120</c:v>
                </c:pt>
                <c:pt idx="2">
                  <c:v>24039400</c:v>
                </c:pt>
                <c:pt idx="3">
                  <c:v>32202144</c:v>
                </c:pt>
                <c:pt idx="4">
                  <c:v>63780000</c:v>
                </c:pt>
                <c:pt idx="5">
                  <c:v>128392704</c:v>
                </c:pt>
              </c:numCache>
            </c:numRef>
          </c:xVal>
          <c:yVal>
            <c:numRef>
              <c:f>F1_multi!$T$14:$T$19</c:f>
              <c:numCache>
                <c:formatCode>General</c:formatCode>
                <c:ptCount val="6"/>
                <c:pt idx="0">
                  <c:v>1.32066619073181</c:v>
                </c:pt>
                <c:pt idx="1">
                  <c:v>0.890019885755163</c:v>
                </c:pt>
                <c:pt idx="2">
                  <c:v>0.884488008212272</c:v>
                </c:pt>
                <c:pt idx="3">
                  <c:v>0.972888874915039</c:v>
                </c:pt>
                <c:pt idx="4">
                  <c:v>1.05899015156114</c:v>
                </c:pt>
                <c:pt idx="5">
                  <c:v>1.08338488561708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F1_multi!$U$10</c15:sqref>
                        </c15:formulaRef>
                      </c:ext>
                    </c:extLst>
                    <c:strCache>
                      <c:ptCount val="1"/>
                      <c:pt idx="0">
                        <c:v>8 NODE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gradFill>
                      <a:gsLst>
                        <a:gs pos="0">
                          <a:srgbClr val="E30000"/>
                        </a:gs>
                        <a:gs pos="100000">
                          <a:srgbClr val="760303"/>
                        </a:gs>
                      </a:gsLst>
                      <a:lin ang="5400000" scaled="0"/>
                    </a:gra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2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cost ratio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74855857084907"/>
          <c:y val="0.19287570183596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Effectiveness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394279959802"/>
          <c:y val="0.0239987645524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241318422602"/>
          <c:y val="0.151912032497549"/>
          <c:w val="0.834432018834609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F1_multi!$H$10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F1_multi!$C$11:$C$19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F1_multi!$W$11:$W$19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F1_multi!$I$10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F1_multi!$C$12:$C$19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F1_multi!$X$12:$X$19</c:f>
              <c:numCache>
                <c:formatCode>General</c:formatCode>
                <c:ptCount val="8"/>
                <c:pt idx="0">
                  <c:v>0.94389078482956</c:v>
                </c:pt>
                <c:pt idx="1">
                  <c:v>1.68359378072791</c:v>
                </c:pt>
                <c:pt idx="2">
                  <c:v>2.53253990390098</c:v>
                </c:pt>
                <c:pt idx="3">
                  <c:v>2.08814437558591</c:v>
                </c:pt>
                <c:pt idx="4">
                  <c:v>2.47176178539056</c:v>
                </c:pt>
                <c:pt idx="5">
                  <c:v>2.65494430287133</c:v>
                </c:pt>
                <c:pt idx="6">
                  <c:v>2.04078325455264</c:v>
                </c:pt>
                <c:pt idx="7">
                  <c:v>1.90710382730926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F1_multi!$J$10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F1_multi!$C$14:$C$19</c:f>
              <c:numCache>
                <c:formatCode>#,##0_ </c:formatCode>
                <c:ptCount val="6"/>
                <c:pt idx="0">
                  <c:v>7983668</c:v>
                </c:pt>
                <c:pt idx="1">
                  <c:v>16095120</c:v>
                </c:pt>
                <c:pt idx="2">
                  <c:v>24039400</c:v>
                </c:pt>
                <c:pt idx="3">
                  <c:v>32202144</c:v>
                </c:pt>
                <c:pt idx="4">
                  <c:v>63780000</c:v>
                </c:pt>
                <c:pt idx="5">
                  <c:v>128392704</c:v>
                </c:pt>
              </c:numCache>
            </c:numRef>
          </c:xVal>
          <c:yVal>
            <c:numRef>
              <c:f>F1_multi!$Y$14:$Y$19</c:f>
              <c:numCache>
                <c:formatCode>General</c:formatCode>
                <c:ptCount val="6"/>
                <c:pt idx="0">
                  <c:v>2.29336864950705</c:v>
                </c:pt>
                <c:pt idx="1">
                  <c:v>5.04964178466054</c:v>
                </c:pt>
                <c:pt idx="2">
                  <c:v>5.11300353500229</c:v>
                </c:pt>
                <c:pt idx="3">
                  <c:v>4.22603915831322</c:v>
                </c:pt>
                <c:pt idx="4">
                  <c:v>3.56677857142931</c:v>
                </c:pt>
                <c:pt idx="5">
                  <c:v>3.40795966868273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F1_multi!$Z$10</c15:sqref>
                        </c15:formulaRef>
                      </c:ext>
                    </c:extLst>
                    <c:strCache>
                      <c:ptCount val="1"/>
                      <c:pt idx="0">
                        <c:v>8 NODE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gradFill>
                      <a:gsLst>
                        <a:gs pos="0">
                          <a:srgbClr val="E30000"/>
                        </a:gs>
                        <a:gs pos="100000">
                          <a:srgbClr val="760303"/>
                        </a:gs>
                      </a:gsLst>
                      <a:lin ang="5400000" scaled="0"/>
                    </a:gradFill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speedup/cost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57893197036343"/>
          <c:y val="0.1689931468148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Speedup &amp; cost ratio wrt. 1 NODE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988940764295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577901430843"/>
          <c:y val="0.151875"/>
          <c:w val="0.788076311605723"/>
          <c:h val="0.696208333333333"/>
        </c:manualLayout>
      </c:layout>
      <c:scatterChart>
        <c:scatterStyle val="line"/>
        <c:varyColors val="0"/>
        <c:ser>
          <c:idx val="1"/>
          <c:order val="0"/>
          <c:tx>
            <c:strRef>
              <c:f>F1_multi!$M$10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F1_multi!$C$11:$C$19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F1_multi!$M$11:$M$19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F1_multi!$I$10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F1_multi!$C$12:$C$19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F1_multi!$N$12:$N$19</c:f>
              <c:numCache>
                <c:formatCode>General</c:formatCode>
                <c:ptCount val="8"/>
                <c:pt idx="0">
                  <c:v>1.37396563627302</c:v>
                </c:pt>
                <c:pt idx="1">
                  <c:v>1.83498979873345</c:v>
                </c:pt>
                <c:pt idx="2">
                  <c:v>2.25057321760523</c:v>
                </c:pt>
                <c:pt idx="3">
                  <c:v>2.0435970129093</c:v>
                </c:pt>
                <c:pt idx="4">
                  <c:v>2.22340360051456</c:v>
                </c:pt>
                <c:pt idx="5">
                  <c:v>2.30431955373873</c:v>
                </c:pt>
                <c:pt idx="6">
                  <c:v>2.02028871924418</c:v>
                </c:pt>
                <c:pt idx="7">
                  <c:v>1.95299965556027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F1_multi!$J$10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F1_multi!$C$14:$C$19</c:f>
              <c:numCache>
                <c:formatCode>#,##0_ </c:formatCode>
                <c:ptCount val="6"/>
                <c:pt idx="0">
                  <c:v>7983668</c:v>
                </c:pt>
                <c:pt idx="1">
                  <c:v>16095120</c:v>
                </c:pt>
                <c:pt idx="2">
                  <c:v>24039400</c:v>
                </c:pt>
                <c:pt idx="3">
                  <c:v>32202144</c:v>
                </c:pt>
                <c:pt idx="4">
                  <c:v>63780000</c:v>
                </c:pt>
                <c:pt idx="5">
                  <c:v>128392704</c:v>
                </c:pt>
              </c:numCache>
            </c:numRef>
          </c:xVal>
          <c:yVal>
            <c:numRef>
              <c:f>F1_multi!$O$14:$O$19</c:f>
              <c:numCache>
                <c:formatCode>General</c:formatCode>
                <c:ptCount val="6"/>
                <c:pt idx="0">
                  <c:v>3.02877443828823</c:v>
                </c:pt>
                <c:pt idx="1">
                  <c:v>4.49428160428807</c:v>
                </c:pt>
                <c:pt idx="2">
                  <c:v>4.52239031265648</c:v>
                </c:pt>
                <c:pt idx="3">
                  <c:v>4.11146648207825</c:v>
                </c:pt>
                <c:pt idx="4">
                  <c:v>3.77718337994295</c:v>
                </c:pt>
                <c:pt idx="5">
                  <c:v>3.69213199584345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"2gpu-cost"</c:f>
              <c:strCache>
                <c:ptCount val="1"/>
                <c:pt idx="0">
                  <c:v>2gpu-cost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F1_multi!$C$12:$C$19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F1_multi!$S$12:$S$19</c:f>
              <c:numCache>
                <c:formatCode>General</c:formatCode>
                <c:ptCount val="8"/>
                <c:pt idx="0">
                  <c:v>1.45564048124606</c:v>
                </c:pt>
                <c:pt idx="1">
                  <c:v>1.08992431531796</c:v>
                </c:pt>
                <c:pt idx="2">
                  <c:v>0.888662490229108</c:v>
                </c:pt>
                <c:pt idx="3">
                  <c:v>0.978666531300495</c:v>
                </c:pt>
                <c:pt idx="4">
                  <c:v>0.899521796014516</c:v>
                </c:pt>
                <c:pt idx="5">
                  <c:v>0.867935177113358</c:v>
                </c:pt>
                <c:pt idx="6">
                  <c:v>0.989957514957679</c:v>
                </c:pt>
                <c:pt idx="7">
                  <c:v>1.02406572080334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"4gpu-cost"</c:f>
              <c:strCache>
                <c:ptCount val="1"/>
                <c:pt idx="0">
                  <c:v>4gpu-cost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F1_multi!$C$14:$C$19</c:f>
              <c:numCache>
                <c:formatCode>#,##0_ </c:formatCode>
                <c:ptCount val="6"/>
                <c:pt idx="0">
                  <c:v>7983668</c:v>
                </c:pt>
                <c:pt idx="1">
                  <c:v>16095120</c:v>
                </c:pt>
                <c:pt idx="2">
                  <c:v>24039400</c:v>
                </c:pt>
                <c:pt idx="3">
                  <c:v>32202144</c:v>
                </c:pt>
                <c:pt idx="4">
                  <c:v>63780000</c:v>
                </c:pt>
                <c:pt idx="5">
                  <c:v>128392704</c:v>
                </c:pt>
              </c:numCache>
            </c:numRef>
          </c:xVal>
          <c:yVal>
            <c:numRef>
              <c:f>F1_multi!$T$14:$T$19</c:f>
              <c:numCache>
                <c:formatCode>General</c:formatCode>
                <c:ptCount val="6"/>
                <c:pt idx="0">
                  <c:v>1.32066619073181</c:v>
                </c:pt>
                <c:pt idx="1">
                  <c:v>0.890019885755163</c:v>
                </c:pt>
                <c:pt idx="2">
                  <c:v>0.884488008212272</c:v>
                </c:pt>
                <c:pt idx="3">
                  <c:v>0.972888874915039</c:v>
                </c:pt>
                <c:pt idx="4">
                  <c:v>1.05899015156114</c:v>
                </c:pt>
                <c:pt idx="5">
                  <c:v>1.08338488561708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F1_multi!$P$10</c15:sqref>
                        </c15:formulaRef>
                      </c:ext>
                    </c:extLst>
                    <c:strCache>
                      <c:ptCount val="1"/>
                      <c:pt idx="0">
                        <c:v>8 NODE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"8gpu-cost"</c15:sqref>
                        </c15:formulaRef>
                      </c:ext>
                    </c:extLst>
                    <c:strCache>
                      <c:ptCount val="1"/>
                      <c:pt idx="0">
                        <c:v>8gpu-cost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"/>
                      <c:pt idx="0">
                        <c:v>993600</c:v>
                      </c:pt>
                      <c:pt idx="1">
                        <c:v>2111984</c:v>
                      </c:pt>
                      <c:pt idx="2">
                        <c:v>4077216</c:v>
                      </c:pt>
                      <c:pt idx="3">
                        <c:v>7983668</c:v>
                      </c:pt>
                      <c:pt idx="4">
                        <c:v>16095120</c:v>
                      </c:pt>
                      <c:pt idx="5">
                        <c:v>24039400</c:v>
                      </c:pt>
                      <c:pt idx="6">
                        <c:v>32202144</c:v>
                      </c:pt>
                      <c:pt idx="7">
                        <c:v>63780000</c:v>
                      </c:pt>
                      <c:pt idx="8">
                        <c:v>128392704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Total number of cells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5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  <a:uFillTx/>
                  </a:rPr>
                  <a:t>Speedup or cost ratio</a:t>
                </a:r>
                <a:endParaRPr sz="1400">
                  <a:solidFill>
                    <a:schemeClr val="tx1"/>
                  </a:solidFill>
                  <a:uFillTx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96444019831157"/>
          <c:y val="0.155836535157592"/>
          <c:w val="0.143083372147182"/>
          <c:h val="0.1987630025302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Throughput vs number of mesh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133149872989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4172916113644"/>
          <c:y val="0.151912032497549"/>
          <c:w val="0.787498664387221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TW3_multi!$H$10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TW3_multi!$H$11:$H$19</c:f>
              <c:numCache>
                <c:formatCode>General</c:formatCode>
                <c:ptCount val="9"/>
                <c:pt idx="0">
                  <c:v>5513.03412845968</c:v>
                </c:pt>
                <c:pt idx="1">
                  <c:v>4477.31256058868</c:v>
                </c:pt>
                <c:pt idx="2">
                  <c:v>3564.57307240486</c:v>
                </c:pt>
                <c:pt idx="3">
                  <c:v>3133.32528241806</c:v>
                </c:pt>
                <c:pt idx="4">
                  <c:v>2886.9741256683</c:v>
                </c:pt>
                <c:pt idx="5">
                  <c:v>2882.51328531096</c:v>
                </c:pt>
                <c:pt idx="6">
                  <c:v>2821.9646011501</c:v>
                </c:pt>
                <c:pt idx="7">
                  <c:v>2778.77606884649</c:v>
                </c:pt>
                <c:pt idx="8">
                  <c:v>2725.24967893912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TW3_multi!$I$10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TW3_multi!$I$11:$I$19</c:f>
              <c:numCache>
                <c:formatCode>General</c:formatCode>
                <c:ptCount val="9"/>
                <c:pt idx="0">
                  <c:v>11341.5180110755</c:v>
                </c:pt>
                <c:pt idx="1">
                  <c:v>8638.15254301612</c:v>
                </c:pt>
                <c:pt idx="2">
                  <c:v>8351.38838036782</c:v>
                </c:pt>
                <c:pt idx="3">
                  <c:v>7185.89180469891</c:v>
                </c:pt>
                <c:pt idx="4">
                  <c:v>5652.88812611998</c:v>
                </c:pt>
                <c:pt idx="5">
                  <c:v>5627.10441951759</c:v>
                </c:pt>
                <c:pt idx="6">
                  <c:v>5604.8984683825</c:v>
                </c:pt>
                <c:pt idx="7">
                  <c:v>5139.67848267386</c:v>
                </c:pt>
                <c:pt idx="8">
                  <c:v>5383.67913089938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TW3_multi!$J$10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TW3_multi!$J$11:$J$19</c:f>
              <c:numCache>
                <c:formatCode>General</c:formatCode>
                <c:ptCount val="9"/>
                <c:pt idx="0">
                  <c:v>15349.0964862065</c:v>
                </c:pt>
                <c:pt idx="1">
                  <c:v>17149.5955484824</c:v>
                </c:pt>
                <c:pt idx="2">
                  <c:v>17191.5317748915</c:v>
                </c:pt>
                <c:pt idx="3">
                  <c:v>15436.9115214087</c:v>
                </c:pt>
                <c:pt idx="4">
                  <c:v>12431.237585262</c:v>
                </c:pt>
                <c:pt idx="5">
                  <c:v>12032.9285849902</c:v>
                </c:pt>
                <c:pt idx="6">
                  <c:v>11638.6361701246</c:v>
                </c:pt>
                <c:pt idx="7">
                  <c:v>10112.3566629718</c:v>
                </c:pt>
                <c:pt idx="8">
                  <c:v>10257.0632003177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TW3_multi!$K$10</c:f>
              <c:strCache>
                <c:ptCount val="1"/>
                <c:pt idx="0">
                  <c:v>8 NODE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TW3_multi!$C$12:$C$19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TW3_multi!$K$12:$K$19</c:f>
              <c:numCache>
                <c:formatCode>General</c:formatCode>
                <c:ptCount val="8"/>
                <c:pt idx="0">
                  <c:v>22838.1894375471</c:v>
                </c:pt>
                <c:pt idx="1">
                  <c:v>27152.8574450858</c:v>
                </c:pt>
                <c:pt idx="2">
                  <c:v>25838.4412975253</c:v>
                </c:pt>
                <c:pt idx="3">
                  <c:v>24766.0696784779</c:v>
                </c:pt>
                <c:pt idx="4">
                  <c:v>23070.0685309749</c:v>
                </c:pt>
                <c:pt idx="5">
                  <c:v>21995.7882530384</c:v>
                </c:pt>
                <c:pt idx="6">
                  <c:v>19140.579265821</c:v>
                </c:pt>
                <c:pt idx="7">
                  <c:v>19389.403126446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"1 GPU (TAIWANIA2 )"</c:f>
              <c:strCache>
                <c:ptCount val="1"/>
                <c:pt idx="0">
                  <c:v>1 GPU (TAIWANIA2 )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'Taiwania 2'!$C$11:$C$19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'Taiwania 2'!$H$11:$H$19</c:f>
              <c:numCache>
                <c:formatCode>General</c:formatCode>
                <c:ptCount val="9"/>
                <c:pt idx="0">
                  <c:v>7973.81935411204</c:v>
                </c:pt>
                <c:pt idx="1">
                  <c:v>9561.87880678355</c:v>
                </c:pt>
                <c:pt idx="2">
                  <c:v>9859.09559317052</c:v>
                </c:pt>
                <c:pt idx="3">
                  <c:v>10860.4373324792</c:v>
                </c:pt>
                <c:pt idx="4">
                  <c:v>10800.4744462533</c:v>
                </c:pt>
                <c:pt idx="5">
                  <c:v>10583.5078395288</c:v>
                </c:pt>
                <c:pt idx="6">
                  <c:v>10722.0858932397</c:v>
                </c:pt>
                <c:pt idx="7">
                  <c:v>9754.8619776346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"1 node (F1)"</c:f>
              <c:strCache>
                <c:ptCount val="1"/>
                <c:pt idx="0">
                  <c:v>1 node (F1)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ALL!$U$14:$U$22</c:f>
              <c:numCache>
                <c:formatCode>General</c:formatCode>
                <c:ptCount val="9"/>
                <c:pt idx="0">
                  <c:v>15856.6896144117</c:v>
                </c:pt>
                <c:pt idx="1">
                  <c:v>12765.5659167681</c:v>
                </c:pt>
                <c:pt idx="2">
                  <c:v>11259.1663658696</c:v>
                </c:pt>
                <c:pt idx="3">
                  <c:v>8927.69930008301</c:v>
                </c:pt>
                <c:pt idx="4">
                  <c:v>6999.41942006449</c:v>
                </c:pt>
                <c:pt idx="5">
                  <c:v>6114.51547512206</c:v>
                </c:pt>
                <c:pt idx="6">
                  <c:v>5782.39880403405</c:v>
                </c:pt>
                <c:pt idx="7">
                  <c:v>5318.20733737258</c:v>
                </c:pt>
                <c:pt idx="8">
                  <c:v>5258.05302749485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Total number of cells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3000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Throughput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0000"/>
        <c:minorUnit val="50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9444090548611"/>
          <c:y val="0.177361111111111"/>
          <c:w val="0.215399900645802"/>
          <c:h val="0.2140277777777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Speedup wrt. 1 NODE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988940764295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15354204509"/>
          <c:y val="0.151912032497549"/>
          <c:w val="0.787498664387221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TW3_multi!$M$10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TW3_multi!$M$11:$M$19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TW3_multi!$I$10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TW3_multi!$N$11:$N$19</c:f>
              <c:numCache>
                <c:formatCode>General</c:formatCode>
                <c:ptCount val="9"/>
                <c:pt idx="0">
                  <c:v>2.05721890102724</c:v>
                </c:pt>
                <c:pt idx="1">
                  <c:v>1.92931639820124</c:v>
                </c:pt>
                <c:pt idx="2">
                  <c:v>2.34288600927278</c:v>
                </c:pt>
                <c:pt idx="3">
                  <c:v>2.29337561759735</c:v>
                </c:pt>
                <c:pt idx="4">
                  <c:v>1.95806677858999</c:v>
                </c:pt>
                <c:pt idx="5">
                  <c:v>1.95215211953847</c:v>
                </c:pt>
                <c:pt idx="6">
                  <c:v>1.98616894985083</c:v>
                </c:pt>
                <c:pt idx="7">
                  <c:v>1.84961952864644</c:v>
                </c:pt>
                <c:pt idx="8">
                  <c:v>1.97548106234256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TW3_multi!$J$10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TW3_multi!$O$11:$O$19</c:f>
              <c:numCache>
                <c:formatCode>General</c:formatCode>
                <c:ptCount val="9"/>
                <c:pt idx="0">
                  <c:v>2.78414682887061</c:v>
                </c:pt>
                <c:pt idx="1">
                  <c:v>3.83033244081301</c:v>
                </c:pt>
                <c:pt idx="2">
                  <c:v>4.8228866194327</c:v>
                </c:pt>
                <c:pt idx="3">
                  <c:v>4.92668654864191</c:v>
                </c:pt>
                <c:pt idx="4">
                  <c:v>4.30597471405613</c:v>
                </c:pt>
                <c:pt idx="5">
                  <c:v>4.17445728569891</c:v>
                </c:pt>
                <c:pt idx="6">
                  <c:v>4.1243026809696</c:v>
                </c:pt>
                <c:pt idx="7">
                  <c:v>3.63914054692777</c:v>
                </c:pt>
                <c:pt idx="8">
                  <c:v>3.76371503850999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TW3_multi!$P$10</c:f>
              <c:strCache>
                <c:ptCount val="1"/>
                <c:pt idx="0">
                  <c:v>8 NODE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TW3_multi!$C$12:$C$19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TW3_multi!$P$12:$P$19</c:f>
              <c:numCache>
                <c:formatCode>General</c:formatCode>
                <c:ptCount val="8"/>
                <c:pt idx="0">
                  <c:v>5.10087002604622</c:v>
                </c:pt>
                <c:pt idx="1">
                  <c:v>7.61742202882293</c:v>
                </c:pt>
                <c:pt idx="2">
                  <c:v>8.24633224086623</c:v>
                </c:pt>
                <c:pt idx="3">
                  <c:v>8.5785561631055</c:v>
                </c:pt>
                <c:pt idx="4">
                  <c:v>8.00345609803014</c:v>
                </c:pt>
                <c:pt idx="5">
                  <c:v>7.79449474457404</c:v>
                </c:pt>
                <c:pt idx="6">
                  <c:v>6.88813304548378</c:v>
                </c:pt>
                <c:pt idx="7">
                  <c:v>7.11472540526777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9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Speedup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76112953472013"/>
          <c:y val="0.321407274895647"/>
          <c:w val="0.195558235353231"/>
          <c:h val="0.22137745974955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cost ratio wrt. 1 NODE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394279959802"/>
          <c:y val="0.02190758931197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87705559906"/>
          <c:y val="0.154293318391932"/>
          <c:w val="0.828719655442443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TW3_multi!$H$10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TW3_multi!$R$11:$R$19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TW3_multi!$I$10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TW3_multi!$S$11:$S$19</c:f>
              <c:numCache>
                <c:formatCode>General</c:formatCode>
                <c:ptCount val="9"/>
                <c:pt idx="0">
                  <c:v>0.972186284600698</c:v>
                </c:pt>
                <c:pt idx="1">
                  <c:v>1.03663660448056</c:v>
                </c:pt>
                <c:pt idx="2">
                  <c:v>0.853648018761609</c:v>
                </c:pt>
                <c:pt idx="3">
                  <c:v>0.872076943983252</c:v>
                </c:pt>
                <c:pt idx="4">
                  <c:v>1.0214156237512</c:v>
                </c:pt>
                <c:pt idx="5">
                  <c:v>1.02451032375123</c:v>
                </c:pt>
                <c:pt idx="6">
                  <c:v>1.00696368259619</c:v>
                </c:pt>
                <c:pt idx="7">
                  <c:v>1.08130346215776</c:v>
                </c:pt>
                <c:pt idx="8">
                  <c:v>1.01241162880517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TW3_multi!$J$10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TW3_multi!$T$11:$T$19</c:f>
              <c:numCache>
                <c:formatCode>General</c:formatCode>
                <c:ptCount val="9"/>
                <c:pt idx="0">
                  <c:v>1.43670583696284</c:v>
                </c:pt>
                <c:pt idx="1">
                  <c:v>1.04429577897186</c:v>
                </c:pt>
                <c:pt idx="2">
                  <c:v>0.829378817217666</c:v>
                </c:pt>
                <c:pt idx="3">
                  <c:v>0.811904707252513</c:v>
                </c:pt>
                <c:pt idx="4">
                  <c:v>0.928941822845052</c:v>
                </c:pt>
                <c:pt idx="5">
                  <c:v>0.958208391232898</c:v>
                </c:pt>
                <c:pt idx="6">
                  <c:v>0.969860921812757</c:v>
                </c:pt>
                <c:pt idx="7">
                  <c:v>1.09916062554299</c:v>
                </c:pt>
                <c:pt idx="8">
                  <c:v>1.06277971607105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TW3_multi!$U$10</c:f>
              <c:strCache>
                <c:ptCount val="1"/>
                <c:pt idx="0">
                  <c:v>8 NODE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TW3_multi!$C$12:$C$19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TW3_multi!$U$12:$U$19</c:f>
              <c:numCache>
                <c:formatCode>General</c:formatCode>
                <c:ptCount val="8"/>
                <c:pt idx="0">
                  <c:v>1.5683598992231</c:v>
                </c:pt>
                <c:pt idx="1">
                  <c:v>1.05022407446108</c:v>
                </c:pt>
                <c:pt idx="2">
                  <c:v>0.970128266279949</c:v>
                </c:pt>
                <c:pt idx="3">
                  <c:v>0.932557862639667</c:v>
                </c:pt>
                <c:pt idx="4">
                  <c:v>0.999568174300227</c:v>
                </c:pt>
                <c:pt idx="5">
                  <c:v>1.02636543639586</c:v>
                </c:pt>
                <c:pt idx="6">
                  <c:v>1.16141775241191</c:v>
                </c:pt>
                <c:pt idx="7">
                  <c:v>1.1244284978415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5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cost ratio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74855857084907"/>
          <c:y val="0.19287570183596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Effectiveness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394279959802"/>
          <c:y val="0.0239987645524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241318422602"/>
          <c:y val="0.151912032497549"/>
          <c:w val="0.834432018834609"/>
          <c:h val="0.696133912312649"/>
        </c:manualLayout>
      </c:layout>
      <c:scatterChart>
        <c:scatterStyle val="lineMarker"/>
        <c:varyColors val="0"/>
        <c:ser>
          <c:idx val="1"/>
          <c:order val="0"/>
          <c:tx>
            <c:strRef>
              <c:f>TW3_multi!$H$10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TW3_multi!$W$11:$W$19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TW3_multi!$I$10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TW3_multi!$X$11:$X$19</c:f>
              <c:numCache>
                <c:formatCode>General</c:formatCode>
                <c:ptCount val="9"/>
                <c:pt idx="0">
                  <c:v>2.11607480337185</c:v>
                </c:pt>
                <c:pt idx="1">
                  <c:v>1.8611308821841</c:v>
                </c:pt>
                <c:pt idx="2">
                  <c:v>2.74455742622306</c:v>
                </c:pt>
                <c:pt idx="3">
                  <c:v>2.62978586169502</c:v>
                </c:pt>
                <c:pt idx="4">
                  <c:v>1.91701275470889</c:v>
                </c:pt>
                <c:pt idx="5">
                  <c:v>1.90544894890927</c:v>
                </c:pt>
                <c:pt idx="6">
                  <c:v>1.97243354867578</c:v>
                </c:pt>
                <c:pt idx="7">
                  <c:v>1.71054620037515</c:v>
                </c:pt>
                <c:pt idx="8">
                  <c:v>1.95126271383704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TW3_multi!$J$10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TW3_multi!$Y$11:$Y$19</c:f>
              <c:numCache>
                <c:formatCode>General</c:formatCode>
                <c:ptCount val="9"/>
                <c:pt idx="0">
                  <c:v>1.93786839117757</c:v>
                </c:pt>
                <c:pt idx="1">
                  <c:v>3.66786165178613</c:v>
                </c:pt>
                <c:pt idx="2">
                  <c:v>5.81505883597574</c:v>
                </c:pt>
                <c:pt idx="3">
                  <c:v>6.06806008714228</c:v>
                </c:pt>
                <c:pt idx="4">
                  <c:v>4.63535455952269</c:v>
                </c:pt>
                <c:pt idx="5">
                  <c:v>4.35652340753117</c:v>
                </c:pt>
                <c:pt idx="6">
                  <c:v>4.25246815106325</c:v>
                </c:pt>
                <c:pt idx="7">
                  <c:v>3.31083598007344</c:v>
                </c:pt>
                <c:pt idx="8">
                  <c:v>3.54138772277657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TW3_multi!$Z$10</c:f>
              <c:strCache>
                <c:ptCount val="1"/>
                <c:pt idx="0">
                  <c:v>8 NODE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</a:ln>
              <a:effectLst/>
            </c:spPr>
          </c:marker>
          <c:dLbls>
            <c:delete val="1"/>
          </c:dLbls>
          <c:xVal>
            <c:numRef>
              <c:f>TW3_multi!$C$12:$C$19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TW3_multi!$Z$12:$Z$19</c:f>
              <c:numCache>
                <c:formatCode>General</c:formatCode>
                <c:ptCount val="8"/>
                <c:pt idx="0">
                  <c:v>3.25235937782709</c:v>
                </c:pt>
                <c:pt idx="1">
                  <c:v>7.25313979564961</c:v>
                </c:pt>
                <c:pt idx="2">
                  <c:v>8.50024942834373</c:v>
                </c:pt>
                <c:pt idx="3">
                  <c:v>9.19895323044441</c:v>
                </c:pt>
                <c:pt idx="4">
                  <c:v>8.00691368913697</c:v>
                </c:pt>
                <c:pt idx="5">
                  <c:v>7.59426854039904</c:v>
                </c:pt>
                <c:pt idx="6">
                  <c:v>5.9307971065357</c:v>
                </c:pt>
                <c:pt idx="7">
                  <c:v>6.32741469904533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Number of mesh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speedup/cost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123944865904477"/>
              <c:y val="0.4029065695475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24731182795699"/>
          <c:y val="0.165709483120885"/>
          <c:w val="0.152101661779081"/>
          <c:h val="0.18770135873371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Speedup &amp; cost ratio wrt. 1 NODE</a:t>
            </a:r>
            <a:endParaRPr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4988940764295"/>
          <c:y val="0.01909611712285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577901430843"/>
          <c:y val="0.151875"/>
          <c:w val="0.788076311605723"/>
          <c:h val="0.696208333333333"/>
        </c:manualLayout>
      </c:layout>
      <c:scatterChart>
        <c:scatterStyle val="line"/>
        <c:varyColors val="0"/>
        <c:ser>
          <c:idx val="1"/>
          <c:order val="0"/>
          <c:tx>
            <c:strRef>
              <c:f>TW3_multi!$M$10</c:f>
              <c:strCache>
                <c:ptCount val="1"/>
                <c:pt idx="0">
                  <c:v>1 NODE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TW3_multi!$M$11:$M$19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TW3_multi!$I$10</c:f>
              <c:strCache>
                <c:ptCount val="1"/>
                <c:pt idx="0">
                  <c:v>2 NODE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TW3_multi!$N$11:$N$19</c:f>
              <c:numCache>
                <c:formatCode>General</c:formatCode>
                <c:ptCount val="9"/>
                <c:pt idx="0">
                  <c:v>2.05721890102724</c:v>
                </c:pt>
                <c:pt idx="1">
                  <c:v>1.92931639820124</c:v>
                </c:pt>
                <c:pt idx="2">
                  <c:v>2.34288600927278</c:v>
                </c:pt>
                <c:pt idx="3">
                  <c:v>2.29337561759735</c:v>
                </c:pt>
                <c:pt idx="4">
                  <c:v>1.95806677858999</c:v>
                </c:pt>
                <c:pt idx="5">
                  <c:v>1.95215211953847</c:v>
                </c:pt>
                <c:pt idx="6">
                  <c:v>1.98616894985083</c:v>
                </c:pt>
                <c:pt idx="7">
                  <c:v>1.84961952864644</c:v>
                </c:pt>
                <c:pt idx="8">
                  <c:v>1.97548106234256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TW3_multi!$J$10</c:f>
              <c:strCache>
                <c:ptCount val="1"/>
                <c:pt idx="0">
                  <c:v>4 NODE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TW3_multi!$O$11:$O$19</c:f>
              <c:numCache>
                <c:formatCode>General</c:formatCode>
                <c:ptCount val="9"/>
                <c:pt idx="0">
                  <c:v>2.78414682887061</c:v>
                </c:pt>
                <c:pt idx="1">
                  <c:v>3.83033244081301</c:v>
                </c:pt>
                <c:pt idx="2">
                  <c:v>4.8228866194327</c:v>
                </c:pt>
                <c:pt idx="3">
                  <c:v>4.92668654864191</c:v>
                </c:pt>
                <c:pt idx="4">
                  <c:v>4.30597471405613</c:v>
                </c:pt>
                <c:pt idx="5">
                  <c:v>4.17445728569891</c:v>
                </c:pt>
                <c:pt idx="6">
                  <c:v>4.1243026809696</c:v>
                </c:pt>
                <c:pt idx="7">
                  <c:v>3.63914054692777</c:v>
                </c:pt>
                <c:pt idx="8">
                  <c:v>3.76371503850999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TW3_multi!$P$10</c:f>
              <c:strCache>
                <c:ptCount val="1"/>
                <c:pt idx="0">
                  <c:v>8 NODE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TW3_multi!$C$12:$C$19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TW3_multi!$P$12:$P$19</c:f>
              <c:numCache>
                <c:formatCode>General</c:formatCode>
                <c:ptCount val="8"/>
                <c:pt idx="0">
                  <c:v>5.10087002604622</c:v>
                </c:pt>
                <c:pt idx="1">
                  <c:v>7.61742202882293</c:v>
                </c:pt>
                <c:pt idx="2">
                  <c:v>8.24633224086623</c:v>
                </c:pt>
                <c:pt idx="3">
                  <c:v>8.5785561631055</c:v>
                </c:pt>
                <c:pt idx="4">
                  <c:v>8.00345609803014</c:v>
                </c:pt>
                <c:pt idx="5">
                  <c:v>7.79449474457404</c:v>
                </c:pt>
                <c:pt idx="6">
                  <c:v>6.88813304548378</c:v>
                </c:pt>
                <c:pt idx="7">
                  <c:v>7.11472540526777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"2gpu-cost"</c:f>
              <c:strCache>
                <c:ptCount val="1"/>
                <c:pt idx="0">
                  <c:v>2gpu-cost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TW3_multi!$S$11:$S$19</c:f>
              <c:numCache>
                <c:formatCode>General</c:formatCode>
                <c:ptCount val="9"/>
                <c:pt idx="0">
                  <c:v>0.972186284600698</c:v>
                </c:pt>
                <c:pt idx="1">
                  <c:v>1.03663660448056</c:v>
                </c:pt>
                <c:pt idx="2">
                  <c:v>0.853648018761609</c:v>
                </c:pt>
                <c:pt idx="3">
                  <c:v>0.872076943983252</c:v>
                </c:pt>
                <c:pt idx="4">
                  <c:v>1.0214156237512</c:v>
                </c:pt>
                <c:pt idx="5">
                  <c:v>1.02451032375123</c:v>
                </c:pt>
                <c:pt idx="6">
                  <c:v>1.00696368259619</c:v>
                </c:pt>
                <c:pt idx="7">
                  <c:v>1.08130346215776</c:v>
                </c:pt>
                <c:pt idx="8">
                  <c:v>1.01241162880517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"4gpu-cost"</c:f>
              <c:strCache>
                <c:ptCount val="1"/>
                <c:pt idx="0">
                  <c:v>4gpu-cost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TW3_multi!$C$11:$C$19</c:f>
              <c:numCache>
                <c:formatCode>#,##0_ </c:formatCode>
                <c:ptCount val="9"/>
                <c:pt idx="0">
                  <c:v>993600</c:v>
                </c:pt>
                <c:pt idx="1">
                  <c:v>2111984</c:v>
                </c:pt>
                <c:pt idx="2">
                  <c:v>4077216</c:v>
                </c:pt>
                <c:pt idx="3">
                  <c:v>7983668</c:v>
                </c:pt>
                <c:pt idx="4">
                  <c:v>16095120</c:v>
                </c:pt>
                <c:pt idx="5">
                  <c:v>24039400</c:v>
                </c:pt>
                <c:pt idx="6">
                  <c:v>32202144</c:v>
                </c:pt>
                <c:pt idx="7">
                  <c:v>63780000</c:v>
                </c:pt>
                <c:pt idx="8">
                  <c:v>128392704</c:v>
                </c:pt>
              </c:numCache>
            </c:numRef>
          </c:xVal>
          <c:yVal>
            <c:numRef>
              <c:f>TW3_multi!$T$11:$T$19</c:f>
              <c:numCache>
                <c:formatCode>General</c:formatCode>
                <c:ptCount val="9"/>
                <c:pt idx="0">
                  <c:v>1.43670583696284</c:v>
                </c:pt>
                <c:pt idx="1">
                  <c:v>1.04429577897186</c:v>
                </c:pt>
                <c:pt idx="2">
                  <c:v>0.829378817217666</c:v>
                </c:pt>
                <c:pt idx="3">
                  <c:v>0.811904707252513</c:v>
                </c:pt>
                <c:pt idx="4">
                  <c:v>0.928941822845052</c:v>
                </c:pt>
                <c:pt idx="5">
                  <c:v>0.958208391232898</c:v>
                </c:pt>
                <c:pt idx="6">
                  <c:v>0.969860921812757</c:v>
                </c:pt>
                <c:pt idx="7">
                  <c:v>1.09916062554299</c:v>
                </c:pt>
                <c:pt idx="8">
                  <c:v>1.06277971607105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"8gpu-cost"</c:f>
              <c:strCache>
                <c:ptCount val="1"/>
                <c:pt idx="0">
                  <c:v>8gpu-cost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TW3_multi!$C$12:$C$19</c:f>
              <c:numCache>
                <c:formatCode>#,##0_ </c:formatCode>
                <c:ptCount val="8"/>
                <c:pt idx="0">
                  <c:v>2111984</c:v>
                </c:pt>
                <c:pt idx="1">
                  <c:v>4077216</c:v>
                </c:pt>
                <c:pt idx="2">
                  <c:v>7983668</c:v>
                </c:pt>
                <c:pt idx="3">
                  <c:v>16095120</c:v>
                </c:pt>
                <c:pt idx="4">
                  <c:v>24039400</c:v>
                </c:pt>
                <c:pt idx="5">
                  <c:v>32202144</c:v>
                </c:pt>
                <c:pt idx="6">
                  <c:v>63780000</c:v>
                </c:pt>
                <c:pt idx="7">
                  <c:v>128392704</c:v>
                </c:pt>
              </c:numCache>
            </c:numRef>
          </c:xVal>
          <c:yVal>
            <c:numRef>
              <c:f>TW3_multi!$U$12:$U$19</c:f>
              <c:numCache>
                <c:formatCode>General</c:formatCode>
                <c:ptCount val="8"/>
                <c:pt idx="0">
                  <c:v>1.5683598992231</c:v>
                </c:pt>
                <c:pt idx="1">
                  <c:v>1.05022407446108</c:v>
                </c:pt>
                <c:pt idx="2">
                  <c:v>0.970128266279949</c:v>
                </c:pt>
                <c:pt idx="3">
                  <c:v>0.932557862639667</c:v>
                </c:pt>
                <c:pt idx="4">
                  <c:v>0.999568174300227</c:v>
                </c:pt>
                <c:pt idx="5">
                  <c:v>1.02636543639586</c:v>
                </c:pt>
                <c:pt idx="6">
                  <c:v>1.16141775241191</c:v>
                </c:pt>
                <c:pt idx="7">
                  <c:v>1.1244284978415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065618"/>
        <c:axId val="192015731"/>
      </c:scatterChart>
      <c:valAx>
        <c:axId val="98406561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</a:rPr>
                  <a:t>Total number of cells (millions)</a:t>
                </a:r>
                <a:endParaRPr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63346740050804"/>
              <c:y val="0.9146973597654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92015731"/>
        <c:crosses val="autoZero"/>
        <c:crossBetween val="midCat"/>
        <c:dispUnits>
          <c:builtInUnit val="millions"/>
        </c:dispUnits>
      </c:valAx>
      <c:valAx>
        <c:axId val="192015731"/>
        <c:scaling>
          <c:orientation val="minMax"/>
          <c:max val="9"/>
          <c:min val="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>
                    <a:solidFill>
                      <a:schemeClr val="tx1"/>
                    </a:solidFill>
                    <a:uFillTx/>
                  </a:rPr>
                  <a:t>Speedup or cost ratio</a:t>
                </a:r>
                <a:endParaRPr sz="1400">
                  <a:solidFill>
                    <a:schemeClr val="tx1"/>
                  </a:solidFill>
                  <a:uFillTx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84065618"/>
        <c:crosses val="autoZero"/>
        <c:crossBetween val="midCat"/>
        <c:majorUnit val="1"/>
        <c:minorUnit val="0.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735122329019488"/>
          <c:y val="0.33486431293537"/>
          <c:w val="0.143083372147182"/>
          <c:h val="0.1987630025302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200"/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01334604385"/>
          <c:y val="0.126472491909385"/>
          <c:w val="0.834566253574833"/>
          <c:h val="0.686809061488673"/>
        </c:manualLayout>
      </c:layout>
      <c:scatterChart>
        <c:scatterStyle val="lineMarker"/>
        <c:varyColors val="0"/>
        <c:ser>
          <c:idx val="1"/>
          <c:order val="1"/>
          <c:tx>
            <c:strRef>
              <c:f>"CPU node09g @16M cells"</c:f>
              <c:strCache>
                <c:ptCount val="1"/>
                <c:pt idx="0">
                  <c:v>CPU node09g @16M cells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xVal>
            <c:numRef>
              <c:f>node09g_CPU_16M!$B$7:$B$12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node09g_CPU_16M!$D$7:$D$12</c:f>
              <c:numCache>
                <c:formatCode>#,##0.00_ </c:formatCode>
                <c:ptCount val="6"/>
                <c:pt idx="0">
                  <c:v>1</c:v>
                </c:pt>
                <c:pt idx="1">
                  <c:v>1.80703853794324</c:v>
                </c:pt>
                <c:pt idx="2">
                  <c:v>3.5360006256587</c:v>
                </c:pt>
                <c:pt idx="3">
                  <c:v>6.43424598335079</c:v>
                </c:pt>
                <c:pt idx="4">
                  <c:v>9.25694601325551</c:v>
                </c:pt>
                <c:pt idx="5">
                  <c:v>10.51222024691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node09g_CPU_16M!$E$6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node09g_CPU_16M!$B$7:$B$12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xVal>
          <c:yVal>
            <c:numRef>
              <c:f>node09g_CPU_16M!$E$7:$E$12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71077"/>
        <c:axId val="9053185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node09g_CPU_16M!$C$6</c15:sqref>
                        </c15:formulaRef>
                      </c:ext>
                    </c:extLst>
                    <c:strCache>
                      <c:ptCount val="1"/>
                      <c:pt idx="0">
                        <c:v>runtime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8</c:v>
                      </c:pt>
                      <c:pt idx="4">
                        <c:v>16</c:v>
                      </c:pt>
                      <c:pt idx="5">
                        <c:v>32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6"/>
                      <c:pt idx="0">
                        <c:v>386.670285423</c:v>
                      </c:pt>
                      <c:pt idx="1">
                        <c:v>213.980099098</c:v>
                      </c:pt>
                      <c:pt idx="2">
                        <c:v>109.352436936</c:v>
                      </c:pt>
                      <c:pt idx="3">
                        <c:v>60.095664111</c:v>
                      </c:pt>
                      <c:pt idx="4">
                        <c:v>41.770826455</c:v>
                      </c:pt>
                      <c:pt idx="5">
                        <c:v>36.782932277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518571077"/>
        <c:scaling>
          <c:orientation val="minMax"/>
          <c:max val="32"/>
          <c:min val="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2000">
                    <a:solidFill>
                      <a:schemeClr val="tx1"/>
                    </a:solidFill>
                  </a:rPr>
                  <a:t>number of cores</a:t>
                </a:r>
                <a:endParaRPr sz="20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93441372735939"/>
              <c:y val="0.8885436893203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05318528"/>
        <c:crosses val="autoZero"/>
        <c:crossBetween val="midCat"/>
        <c:majorUnit val="4"/>
        <c:minorUnit val="2"/>
      </c:valAx>
      <c:valAx>
        <c:axId val="905318528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2000">
                    <a:solidFill>
                      <a:schemeClr val="tx1"/>
                    </a:solidFill>
                  </a:rPr>
                  <a:t>Speedup</a:t>
                </a:r>
                <a:endParaRPr sz="2000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18571077"/>
        <c:crosses val="autoZero"/>
        <c:crossBetween val="midCat"/>
        <c:majorUnit val="2"/>
        <c:minorUnit val="2"/>
      </c:valAx>
      <c:spPr>
        <a:noFill/>
        <a:ln w="12700" cmpd="sng">
          <a:solidFill>
            <a:schemeClr val="tx1"/>
          </a:solidFill>
          <a:prstDash val="solid"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565681601525262"/>
          <c:y val="0.626019417475728"/>
          <c:w val="0.384080076263108"/>
          <c:h val="0.1518446601941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295275</xdr:colOff>
      <xdr:row>23</xdr:row>
      <xdr:rowOff>181610</xdr:rowOff>
    </xdr:from>
    <xdr:to>
      <xdr:col>11</xdr:col>
      <xdr:colOff>1132840</xdr:colOff>
      <xdr:row>62</xdr:row>
      <xdr:rowOff>179070</xdr:rowOff>
    </xdr:to>
    <xdr:graphicFrame>
      <xdr:nvGraphicFramePr>
        <xdr:cNvPr id="2" name="Chart 1"/>
        <xdr:cNvGraphicFramePr/>
      </xdr:nvGraphicFramePr>
      <xdr:xfrm>
        <a:off x="1532255" y="4387850"/>
        <a:ext cx="12656820" cy="7129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39370</xdr:colOff>
      <xdr:row>24</xdr:row>
      <xdr:rowOff>51435</xdr:rowOff>
    </xdr:from>
    <xdr:to>
      <xdr:col>19</xdr:col>
      <xdr:colOff>1363345</xdr:colOff>
      <xdr:row>62</xdr:row>
      <xdr:rowOff>183515</xdr:rowOff>
    </xdr:to>
    <xdr:graphicFrame>
      <xdr:nvGraphicFramePr>
        <xdr:cNvPr id="3" name="Chart 2"/>
        <xdr:cNvGraphicFramePr/>
      </xdr:nvGraphicFramePr>
      <xdr:xfrm>
        <a:off x="14454505" y="4440555"/>
        <a:ext cx="10587355" cy="7080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0.70527796465048</cdr:x>
      <cdr:y>0.41804381245196</cdr:y>
    </cdr:from>
    <cdr:to>
      <cdr:x>0.835789859947404</cdr:x>
      <cdr:y>0.477325134511914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 rot="20340000">
          <a:off x="7322820" y="2762885"/>
          <a:ext cx="1355090" cy="39179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ctr" anchorCtr="0"/>
        <a:p>
          <a:pPr algn="ctr"/>
          <a:r>
            <a:rPr lang="en-US" sz="1600"/>
            <a:t>VRAM usage</a:t>
          </a:r>
          <a:endParaRPr lang="en-US" sz="1600"/>
        </a:p>
      </cdr:txBody>
    </cdr:sp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55880</xdr:colOff>
      <xdr:row>45</xdr:row>
      <xdr:rowOff>78740</xdr:rowOff>
    </xdr:from>
    <xdr:to>
      <xdr:col>9</xdr:col>
      <xdr:colOff>826770</xdr:colOff>
      <xdr:row>69</xdr:row>
      <xdr:rowOff>120015</xdr:rowOff>
    </xdr:to>
    <xdr:graphicFrame>
      <xdr:nvGraphicFramePr>
        <xdr:cNvPr id="2" name="Chart 1"/>
        <xdr:cNvGraphicFramePr/>
      </xdr:nvGraphicFramePr>
      <xdr:xfrm>
        <a:off x="1290320" y="8308340"/>
        <a:ext cx="6880860" cy="44303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118110</xdr:colOff>
      <xdr:row>20</xdr:row>
      <xdr:rowOff>78740</xdr:rowOff>
    </xdr:from>
    <xdr:to>
      <xdr:col>9</xdr:col>
      <xdr:colOff>643255</xdr:colOff>
      <xdr:row>44</xdr:row>
      <xdr:rowOff>37465</xdr:rowOff>
    </xdr:to>
    <xdr:graphicFrame>
      <xdr:nvGraphicFramePr>
        <xdr:cNvPr id="3" name="Chart 2"/>
        <xdr:cNvGraphicFramePr/>
      </xdr:nvGraphicFramePr>
      <xdr:xfrm>
        <a:off x="1352550" y="3736340"/>
        <a:ext cx="6635115" cy="4347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428625</xdr:colOff>
      <xdr:row>20</xdr:row>
      <xdr:rowOff>94615</xdr:rowOff>
    </xdr:from>
    <xdr:to>
      <xdr:col>18</xdr:col>
      <xdr:colOff>59055</xdr:colOff>
      <xdr:row>43</xdr:row>
      <xdr:rowOff>156845</xdr:rowOff>
    </xdr:to>
    <xdr:graphicFrame>
      <xdr:nvGraphicFramePr>
        <xdr:cNvPr id="4" name="Chart 3"/>
        <xdr:cNvGraphicFramePr/>
      </xdr:nvGraphicFramePr>
      <xdr:xfrm>
        <a:off x="8639175" y="3752215"/>
        <a:ext cx="5812790" cy="4268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377190</xdr:colOff>
      <xdr:row>20</xdr:row>
      <xdr:rowOff>52705</xdr:rowOff>
    </xdr:from>
    <xdr:to>
      <xdr:col>25</xdr:col>
      <xdr:colOff>38100</xdr:colOff>
      <xdr:row>44</xdr:row>
      <xdr:rowOff>55245</xdr:rowOff>
    </xdr:to>
    <xdr:graphicFrame>
      <xdr:nvGraphicFramePr>
        <xdr:cNvPr id="5" name="Chart 4"/>
        <xdr:cNvGraphicFramePr/>
      </xdr:nvGraphicFramePr>
      <xdr:xfrm>
        <a:off x="14770100" y="3710305"/>
        <a:ext cx="5474970" cy="4391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645795</xdr:colOff>
      <xdr:row>45</xdr:row>
      <xdr:rowOff>72390</xdr:rowOff>
    </xdr:from>
    <xdr:to>
      <xdr:col>18</xdr:col>
      <xdr:colOff>789940</xdr:colOff>
      <xdr:row>69</xdr:row>
      <xdr:rowOff>99695</xdr:rowOff>
    </xdr:to>
    <xdr:graphicFrame>
      <xdr:nvGraphicFramePr>
        <xdr:cNvPr id="6" name="Chart 5"/>
        <xdr:cNvGraphicFramePr/>
      </xdr:nvGraphicFramePr>
      <xdr:xfrm>
        <a:off x="7990205" y="8301990"/>
        <a:ext cx="7192645" cy="4416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786765</xdr:colOff>
      <xdr:row>60</xdr:row>
      <xdr:rowOff>88900</xdr:rowOff>
    </xdr:from>
    <xdr:to>
      <xdr:col>17</xdr:col>
      <xdr:colOff>490855</xdr:colOff>
      <xdr:row>61</xdr:row>
      <xdr:rowOff>178435</xdr:rowOff>
    </xdr:to>
    <xdr:sp>
      <xdr:nvSpPr>
        <xdr:cNvPr id="7" name="Text Box 6"/>
        <xdr:cNvSpPr txBox="1"/>
      </xdr:nvSpPr>
      <xdr:spPr>
        <a:xfrm rot="240000">
          <a:off x="13079095" y="11061700"/>
          <a:ext cx="1187450" cy="272415"/>
        </a:xfrm>
        <a:prstGeom prst="rect">
          <a:avLst/>
        </a:prstGeom>
      </xdr:spPr>
      <xdr:txBody>
        <a:bodyPr vertOverflow="clip" horzOverflow="clip" wrap="square" rtlCol="0" anchor="t"/>
        <a:p>
          <a:r>
            <a:rPr lang="en-US" sz="1600"/>
            <a:t>cost ratio</a:t>
          </a:r>
          <a:endParaRPr lang="en-US" sz="1600"/>
        </a:p>
      </xdr:txBody>
    </xdr:sp>
    <xdr:clientData/>
  </xdr:twoCellAnchor>
  <xdr:twoCellAnchor>
    <xdr:from>
      <xdr:col>11</xdr:col>
      <xdr:colOff>109220</xdr:colOff>
      <xdr:row>61</xdr:row>
      <xdr:rowOff>88265</xdr:rowOff>
    </xdr:from>
    <xdr:to>
      <xdr:col>11</xdr:col>
      <xdr:colOff>248285</xdr:colOff>
      <xdr:row>62</xdr:row>
      <xdr:rowOff>34925</xdr:rowOff>
    </xdr:to>
    <xdr:sp>
      <xdr:nvSpPr>
        <xdr:cNvPr id="8" name="Oval 7"/>
        <xdr:cNvSpPr/>
      </xdr:nvSpPr>
      <xdr:spPr>
        <a:xfrm>
          <a:off x="9185910" y="11243945"/>
          <a:ext cx="139065" cy="129540"/>
        </a:xfrm>
        <a:prstGeom prst="ellipse">
          <a:avLst/>
        </a:prstGeom>
        <a:noFill/>
        <a:ln w="28575"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121285</xdr:colOff>
      <xdr:row>59</xdr:row>
      <xdr:rowOff>158750</xdr:rowOff>
    </xdr:from>
    <xdr:to>
      <xdr:col>11</xdr:col>
      <xdr:colOff>260350</xdr:colOff>
      <xdr:row>60</xdr:row>
      <xdr:rowOff>105410</xdr:rowOff>
    </xdr:to>
    <xdr:sp>
      <xdr:nvSpPr>
        <xdr:cNvPr id="9" name="Oval 8"/>
        <xdr:cNvSpPr/>
      </xdr:nvSpPr>
      <xdr:spPr>
        <a:xfrm>
          <a:off x="9197975" y="10948670"/>
          <a:ext cx="139065" cy="129540"/>
        </a:xfrm>
        <a:prstGeom prst="ellipse">
          <a:avLst/>
        </a:prstGeom>
        <a:noFill/>
        <a:ln w="28575">
          <a:solidFill>
            <a:schemeClr val="accent2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457200</xdr:colOff>
      <xdr:row>54</xdr:row>
      <xdr:rowOff>179705</xdr:rowOff>
    </xdr:from>
    <xdr:to>
      <xdr:col>14</xdr:col>
      <xdr:colOff>728345</xdr:colOff>
      <xdr:row>56</xdr:row>
      <xdr:rowOff>100965</xdr:rowOff>
    </xdr:to>
    <xdr:sp>
      <xdr:nvSpPr>
        <xdr:cNvPr id="11" name="Rectangles 10"/>
        <xdr:cNvSpPr/>
      </xdr:nvSpPr>
      <xdr:spPr>
        <a:xfrm>
          <a:off x="11017250" y="10055225"/>
          <a:ext cx="1137285" cy="28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break even points</a:t>
          </a:r>
          <a:endParaRPr lang="en-US" sz="1100"/>
        </a:p>
      </xdr:txBody>
    </xdr:sp>
    <xdr:clientData/>
  </xdr:twoCellAnchor>
  <xdr:twoCellAnchor>
    <xdr:from>
      <xdr:col>11</xdr:col>
      <xdr:colOff>315595</xdr:colOff>
      <xdr:row>55</xdr:row>
      <xdr:rowOff>140335</xdr:rowOff>
    </xdr:from>
    <xdr:to>
      <xdr:col>13</xdr:col>
      <xdr:colOff>457200</xdr:colOff>
      <xdr:row>59</xdr:row>
      <xdr:rowOff>175260</xdr:rowOff>
    </xdr:to>
    <xdr:cxnSp>
      <xdr:nvCxnSpPr>
        <xdr:cNvPr id="12" name="Straight Arrow Connector 11"/>
        <xdr:cNvCxnSpPr>
          <a:stCxn id="11" idx="1"/>
        </xdr:cNvCxnSpPr>
      </xdr:nvCxnSpPr>
      <xdr:spPr>
        <a:xfrm flipH="1">
          <a:off x="9392285" y="10198735"/>
          <a:ext cx="1624965" cy="7664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290830</xdr:colOff>
      <xdr:row>55</xdr:row>
      <xdr:rowOff>166370</xdr:rowOff>
    </xdr:from>
    <xdr:to>
      <xdr:col>13</xdr:col>
      <xdr:colOff>444500</xdr:colOff>
      <xdr:row>61</xdr:row>
      <xdr:rowOff>83820</xdr:rowOff>
    </xdr:to>
    <xdr:cxnSp>
      <xdr:nvCxnSpPr>
        <xdr:cNvPr id="13" name="Straight Arrow Connector 12"/>
        <xdr:cNvCxnSpPr/>
      </xdr:nvCxnSpPr>
      <xdr:spPr>
        <a:xfrm flipH="1">
          <a:off x="9367520" y="10224770"/>
          <a:ext cx="1637030" cy="101473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205105</xdr:colOff>
      <xdr:row>68</xdr:row>
      <xdr:rowOff>79375</xdr:rowOff>
    </xdr:from>
    <xdr:to>
      <xdr:col>5</xdr:col>
      <xdr:colOff>871855</xdr:colOff>
      <xdr:row>70</xdr:row>
      <xdr:rowOff>94615</xdr:rowOff>
    </xdr:to>
    <xdr:sp>
      <xdr:nvSpPr>
        <xdr:cNvPr id="10" name="Text Box 9"/>
        <xdr:cNvSpPr txBox="1"/>
      </xdr:nvSpPr>
      <xdr:spPr>
        <a:xfrm>
          <a:off x="4200525" y="12515215"/>
          <a:ext cx="66103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2200">
              <a:latin typeface="Arial" panose="020B0604020202020204" pitchFamily="7" charset="0"/>
              <a:cs typeface="Arial" panose="020B0604020202020204" pitchFamily="7" charset="0"/>
            </a:rPr>
            <a:t>(a)</a:t>
          </a:r>
          <a:endParaRPr lang="en-US" sz="2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783590</xdr:colOff>
      <xdr:row>68</xdr:row>
      <xdr:rowOff>153035</xdr:rowOff>
    </xdr:from>
    <xdr:to>
      <xdr:col>14</xdr:col>
      <xdr:colOff>488315</xdr:colOff>
      <xdr:row>70</xdr:row>
      <xdr:rowOff>168275</xdr:rowOff>
    </xdr:to>
    <xdr:sp>
      <xdr:nvSpPr>
        <xdr:cNvPr id="14" name="Text Box 13"/>
        <xdr:cNvSpPr txBox="1"/>
      </xdr:nvSpPr>
      <xdr:spPr>
        <a:xfrm>
          <a:off x="11343640" y="12588875"/>
          <a:ext cx="57086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latin typeface="Arial" panose="020B0604020202020204" pitchFamily="7" charset="0"/>
              <a:cs typeface="Arial" panose="020B0604020202020204" pitchFamily="7" charset="0"/>
            </a:rPr>
            <a:t>(b)</a:t>
          </a:r>
          <a:endParaRPr lang="en-US" sz="2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11</xdr:col>
      <xdr:colOff>173990</xdr:colOff>
      <xdr:row>57</xdr:row>
      <xdr:rowOff>78740</xdr:rowOff>
    </xdr:from>
    <xdr:to>
      <xdr:col>11</xdr:col>
      <xdr:colOff>313055</xdr:colOff>
      <xdr:row>58</xdr:row>
      <xdr:rowOff>25400</xdr:rowOff>
    </xdr:to>
    <xdr:sp>
      <xdr:nvSpPr>
        <xdr:cNvPr id="15" name="Oval 14"/>
        <xdr:cNvSpPr/>
      </xdr:nvSpPr>
      <xdr:spPr>
        <a:xfrm>
          <a:off x="9250680" y="10502900"/>
          <a:ext cx="139065" cy="129540"/>
        </a:xfrm>
        <a:prstGeom prst="ellipse">
          <a:avLst/>
        </a:prstGeom>
        <a:noFill/>
        <a:ln w="28575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313055</xdr:colOff>
      <xdr:row>55</xdr:row>
      <xdr:rowOff>142240</xdr:rowOff>
    </xdr:from>
    <xdr:to>
      <xdr:col>13</xdr:col>
      <xdr:colOff>440055</xdr:colOff>
      <xdr:row>57</xdr:row>
      <xdr:rowOff>147320</xdr:rowOff>
    </xdr:to>
    <xdr:cxnSp>
      <xdr:nvCxnSpPr>
        <xdr:cNvPr id="16" name="Straight Arrow Connector 15"/>
        <xdr:cNvCxnSpPr>
          <a:endCxn id="15" idx="6"/>
        </xdr:cNvCxnSpPr>
      </xdr:nvCxnSpPr>
      <xdr:spPr>
        <a:xfrm flipH="1">
          <a:off x="9389745" y="10200640"/>
          <a:ext cx="1610360" cy="37084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0.497504183523452</cdr:x>
      <cdr:y>0.200250484178302</cdr:y>
    </cdr:from>
    <cdr:to>
      <cdr:x>0.681275066578344</cdr:x>
      <cdr:y>0.26224092556149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 rot="21060000">
          <a:off x="3190427" y="915545"/>
          <a:ext cx="1178498" cy="28342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sz="1600"/>
            <a:t>speedup</a:t>
          </a:r>
          <a:endParaRPr lang="en-US" sz="1600"/>
        </a:p>
      </cdr:txBody>
    </cdr:sp>
  </cdr:relSizeAnchor>
</c:userShapes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1042035</xdr:colOff>
      <xdr:row>46</xdr:row>
      <xdr:rowOff>137795</xdr:rowOff>
    </xdr:from>
    <xdr:to>
      <xdr:col>10</xdr:col>
      <xdr:colOff>232410</xdr:colOff>
      <xdr:row>70</xdr:row>
      <xdr:rowOff>137795</xdr:rowOff>
    </xdr:to>
    <xdr:graphicFrame>
      <xdr:nvGraphicFramePr>
        <xdr:cNvPr id="2" name="Chart 1"/>
        <xdr:cNvGraphicFramePr/>
      </xdr:nvGraphicFramePr>
      <xdr:xfrm>
        <a:off x="2263140" y="8550275"/>
        <a:ext cx="5685790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316865</xdr:colOff>
      <xdr:row>20</xdr:row>
      <xdr:rowOff>99695</xdr:rowOff>
    </xdr:from>
    <xdr:to>
      <xdr:col>13</xdr:col>
      <xdr:colOff>803275</xdr:colOff>
      <xdr:row>44</xdr:row>
      <xdr:rowOff>45085</xdr:rowOff>
    </xdr:to>
    <xdr:graphicFrame>
      <xdr:nvGraphicFramePr>
        <xdr:cNvPr id="3" name="Chart 2"/>
        <xdr:cNvGraphicFramePr/>
      </xdr:nvGraphicFramePr>
      <xdr:xfrm>
        <a:off x="4312285" y="3757295"/>
        <a:ext cx="6308090" cy="4334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182880</xdr:colOff>
      <xdr:row>20</xdr:row>
      <xdr:rowOff>67310</xdr:rowOff>
    </xdr:from>
    <xdr:to>
      <xdr:col>22</xdr:col>
      <xdr:colOff>39370</xdr:colOff>
      <xdr:row>44</xdr:row>
      <xdr:rowOff>50165</xdr:rowOff>
    </xdr:to>
    <xdr:graphicFrame>
      <xdr:nvGraphicFramePr>
        <xdr:cNvPr id="4" name="Chart 3"/>
        <xdr:cNvGraphicFramePr/>
      </xdr:nvGraphicFramePr>
      <xdr:xfrm>
        <a:off x="10866120" y="3724910"/>
        <a:ext cx="6038850" cy="437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334010</xdr:colOff>
      <xdr:row>20</xdr:row>
      <xdr:rowOff>56515</xdr:rowOff>
    </xdr:from>
    <xdr:to>
      <xdr:col>30</xdr:col>
      <xdr:colOff>512445</xdr:colOff>
      <xdr:row>44</xdr:row>
      <xdr:rowOff>17780</xdr:rowOff>
    </xdr:to>
    <xdr:graphicFrame>
      <xdr:nvGraphicFramePr>
        <xdr:cNvPr id="5" name="Chart 4"/>
        <xdr:cNvGraphicFramePr/>
      </xdr:nvGraphicFramePr>
      <xdr:xfrm>
        <a:off x="17199610" y="3714115"/>
        <a:ext cx="5862955" cy="4350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680085</xdr:colOff>
      <xdr:row>46</xdr:row>
      <xdr:rowOff>155575</xdr:rowOff>
    </xdr:from>
    <xdr:to>
      <xdr:col>17</xdr:col>
      <xdr:colOff>490855</xdr:colOff>
      <xdr:row>70</xdr:row>
      <xdr:rowOff>155575</xdr:rowOff>
    </xdr:to>
    <xdr:graphicFrame>
      <xdr:nvGraphicFramePr>
        <xdr:cNvPr id="6" name="Chart 5"/>
        <xdr:cNvGraphicFramePr/>
      </xdr:nvGraphicFramePr>
      <xdr:xfrm>
        <a:off x="7716520" y="8568055"/>
        <a:ext cx="5807075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652780</xdr:colOff>
      <xdr:row>51</xdr:row>
      <xdr:rowOff>124460</xdr:rowOff>
    </xdr:from>
    <xdr:to>
      <xdr:col>15</xdr:col>
      <xdr:colOff>767080</xdr:colOff>
      <xdr:row>53</xdr:row>
      <xdr:rowOff>23495</xdr:rowOff>
    </xdr:to>
    <xdr:sp>
      <xdr:nvSpPr>
        <xdr:cNvPr id="7" name="Text Box 6"/>
        <xdr:cNvSpPr txBox="1"/>
      </xdr:nvSpPr>
      <xdr:spPr>
        <a:xfrm rot="20760000">
          <a:off x="11336020" y="9451340"/>
          <a:ext cx="980440" cy="264795"/>
        </a:xfrm>
        <a:prstGeom prst="rect">
          <a:avLst/>
        </a:prstGeom>
      </xdr:spPr>
      <xdr:txBody>
        <a:bodyPr vertOverflow="clip" horzOverflow="clip" wrap="square" rtlCol="0" anchor="t"/>
        <a:p>
          <a:r>
            <a:rPr lang="en-US" sz="1600"/>
            <a:t>speedup</a:t>
          </a:r>
          <a:endParaRPr lang="en-US" sz="1600"/>
        </a:p>
      </xdr:txBody>
    </xdr:sp>
    <xdr:clientData/>
  </xdr:twoCellAnchor>
  <xdr:twoCellAnchor>
    <xdr:from>
      <xdr:col>11</xdr:col>
      <xdr:colOff>311785</xdr:colOff>
      <xdr:row>50</xdr:row>
      <xdr:rowOff>132080</xdr:rowOff>
    </xdr:from>
    <xdr:to>
      <xdr:col>11</xdr:col>
      <xdr:colOff>591820</xdr:colOff>
      <xdr:row>56</xdr:row>
      <xdr:rowOff>60325</xdr:rowOff>
    </xdr:to>
    <xdr:sp>
      <xdr:nvSpPr>
        <xdr:cNvPr id="8" name="Text Box 7"/>
        <xdr:cNvSpPr txBox="1"/>
      </xdr:nvSpPr>
      <xdr:spPr>
        <a:xfrm rot="5040000">
          <a:off x="8521700" y="9648825"/>
          <a:ext cx="1025525" cy="28003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600"/>
            <a:t>cost ratio</a:t>
          </a:r>
          <a:endParaRPr lang="en-US" sz="1600"/>
        </a:p>
      </xdr:txBody>
    </xdr:sp>
    <xdr:clientData/>
  </xdr:twoCellAnchor>
  <xdr:twoCellAnchor>
    <xdr:from>
      <xdr:col>7</xdr:col>
      <xdr:colOff>63500</xdr:colOff>
      <xdr:row>64</xdr:row>
      <xdr:rowOff>140335</xdr:rowOff>
    </xdr:from>
    <xdr:to>
      <xdr:col>7</xdr:col>
      <xdr:colOff>367665</xdr:colOff>
      <xdr:row>65</xdr:row>
      <xdr:rowOff>99060</xdr:rowOff>
    </xdr:to>
    <xdr:cxnSp>
      <xdr:nvCxnSpPr>
        <xdr:cNvPr id="10" name="Straight Arrow Connector 9"/>
        <xdr:cNvCxnSpPr/>
      </xdr:nvCxnSpPr>
      <xdr:spPr>
        <a:xfrm>
          <a:off x="5791200" y="11844655"/>
          <a:ext cx="304165" cy="14160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363855</xdr:colOff>
      <xdr:row>62</xdr:row>
      <xdr:rowOff>154940</xdr:rowOff>
    </xdr:from>
    <xdr:to>
      <xdr:col>11</xdr:col>
      <xdr:colOff>502920</xdr:colOff>
      <xdr:row>63</xdr:row>
      <xdr:rowOff>101600</xdr:rowOff>
    </xdr:to>
    <xdr:sp>
      <xdr:nvSpPr>
        <xdr:cNvPr id="9" name="Oval 8"/>
        <xdr:cNvSpPr/>
      </xdr:nvSpPr>
      <xdr:spPr>
        <a:xfrm>
          <a:off x="8946515" y="11493500"/>
          <a:ext cx="139065" cy="129540"/>
        </a:xfrm>
        <a:prstGeom prst="ellipse">
          <a:avLst/>
        </a:prstGeom>
        <a:noFill/>
        <a:ln w="28575"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379095</xdr:colOff>
      <xdr:row>61</xdr:row>
      <xdr:rowOff>42545</xdr:rowOff>
    </xdr:from>
    <xdr:to>
      <xdr:col>11</xdr:col>
      <xdr:colOff>518160</xdr:colOff>
      <xdr:row>61</xdr:row>
      <xdr:rowOff>179705</xdr:rowOff>
    </xdr:to>
    <xdr:sp>
      <xdr:nvSpPr>
        <xdr:cNvPr id="11" name="Oval 10"/>
        <xdr:cNvSpPr/>
      </xdr:nvSpPr>
      <xdr:spPr>
        <a:xfrm>
          <a:off x="8961755" y="11198225"/>
          <a:ext cx="139065" cy="137160"/>
        </a:xfrm>
        <a:prstGeom prst="ellipse">
          <a:avLst/>
        </a:prstGeom>
        <a:noFill/>
        <a:ln w="28575">
          <a:solidFill>
            <a:schemeClr val="accent2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509270</xdr:colOff>
      <xdr:row>58</xdr:row>
      <xdr:rowOff>177800</xdr:rowOff>
    </xdr:from>
    <xdr:to>
      <xdr:col>11</xdr:col>
      <xdr:colOff>648335</xdr:colOff>
      <xdr:row>59</xdr:row>
      <xdr:rowOff>124460</xdr:rowOff>
    </xdr:to>
    <xdr:sp>
      <xdr:nvSpPr>
        <xdr:cNvPr id="12" name="Oval 11"/>
        <xdr:cNvSpPr/>
      </xdr:nvSpPr>
      <xdr:spPr>
        <a:xfrm>
          <a:off x="9091930" y="10784840"/>
          <a:ext cx="107950" cy="129540"/>
        </a:xfrm>
        <a:prstGeom prst="ellipse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51435</xdr:colOff>
      <xdr:row>52</xdr:row>
      <xdr:rowOff>111760</xdr:rowOff>
    </xdr:from>
    <xdr:to>
      <xdr:col>14</xdr:col>
      <xdr:colOff>376555</xdr:colOff>
      <xdr:row>54</xdr:row>
      <xdr:rowOff>33020</xdr:rowOff>
    </xdr:to>
    <xdr:sp>
      <xdr:nvSpPr>
        <xdr:cNvPr id="13" name="Rectangles 12"/>
        <xdr:cNvSpPr/>
      </xdr:nvSpPr>
      <xdr:spPr>
        <a:xfrm>
          <a:off x="9868535" y="9621520"/>
          <a:ext cx="1191260" cy="28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sz="1100"/>
            <a:t>break even points</a:t>
          </a:r>
          <a:endParaRPr lang="en-US" sz="1100"/>
        </a:p>
      </xdr:txBody>
    </xdr:sp>
    <xdr:clientData/>
  </xdr:twoCellAnchor>
  <xdr:twoCellAnchor>
    <xdr:from>
      <xdr:col>11</xdr:col>
      <xdr:colOff>627380</xdr:colOff>
      <xdr:row>54</xdr:row>
      <xdr:rowOff>33020</xdr:rowOff>
    </xdr:from>
    <xdr:to>
      <xdr:col>13</xdr:col>
      <xdr:colOff>696595</xdr:colOff>
      <xdr:row>59</xdr:row>
      <xdr:rowOff>7620</xdr:rowOff>
    </xdr:to>
    <xdr:cxnSp>
      <xdr:nvCxnSpPr>
        <xdr:cNvPr id="15" name="Straight Arrow Connector 14"/>
        <xdr:cNvCxnSpPr>
          <a:stCxn id="13" idx="2"/>
          <a:endCxn id="12" idx="7"/>
        </xdr:cNvCxnSpPr>
      </xdr:nvCxnSpPr>
      <xdr:spPr>
        <a:xfrm flipH="1">
          <a:off x="9199880" y="9908540"/>
          <a:ext cx="1313815" cy="8890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534670</xdr:colOff>
      <xdr:row>54</xdr:row>
      <xdr:rowOff>33020</xdr:rowOff>
    </xdr:from>
    <xdr:to>
      <xdr:col>13</xdr:col>
      <xdr:colOff>696595</xdr:colOff>
      <xdr:row>61</xdr:row>
      <xdr:rowOff>29210</xdr:rowOff>
    </xdr:to>
    <xdr:cxnSp>
      <xdr:nvCxnSpPr>
        <xdr:cNvPr id="16" name="Straight Arrow Connector 15"/>
        <xdr:cNvCxnSpPr>
          <a:stCxn id="13" idx="2"/>
        </xdr:cNvCxnSpPr>
      </xdr:nvCxnSpPr>
      <xdr:spPr>
        <a:xfrm flipH="1">
          <a:off x="9117330" y="9908540"/>
          <a:ext cx="1396365" cy="1276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514985</xdr:colOff>
      <xdr:row>54</xdr:row>
      <xdr:rowOff>33020</xdr:rowOff>
    </xdr:from>
    <xdr:to>
      <xdr:col>13</xdr:col>
      <xdr:colOff>696595</xdr:colOff>
      <xdr:row>62</xdr:row>
      <xdr:rowOff>140970</xdr:rowOff>
    </xdr:to>
    <xdr:cxnSp>
      <xdr:nvCxnSpPr>
        <xdr:cNvPr id="17" name="Straight Arrow Connector 16"/>
        <xdr:cNvCxnSpPr>
          <a:stCxn id="13" idx="2"/>
        </xdr:cNvCxnSpPr>
      </xdr:nvCxnSpPr>
      <xdr:spPr>
        <a:xfrm flipH="1">
          <a:off x="9097645" y="9908540"/>
          <a:ext cx="1416050" cy="157099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70</xdr:row>
      <xdr:rowOff>0</xdr:rowOff>
    </xdr:from>
    <xdr:to>
      <xdr:col>6</xdr:col>
      <xdr:colOff>942975</xdr:colOff>
      <xdr:row>72</xdr:row>
      <xdr:rowOff>15240</xdr:rowOff>
    </xdr:to>
    <xdr:sp>
      <xdr:nvSpPr>
        <xdr:cNvPr id="14" name="Text Box 13"/>
        <xdr:cNvSpPr txBox="1"/>
      </xdr:nvSpPr>
      <xdr:spPr>
        <a:xfrm>
          <a:off x="5137785" y="12801600"/>
          <a:ext cx="58991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latin typeface="Arial" panose="020B0604020202020204" pitchFamily="7" charset="0"/>
              <a:cs typeface="Arial" panose="020B0604020202020204" pitchFamily="7" charset="0"/>
            </a:rPr>
            <a:t>(a)</a:t>
          </a:r>
          <a:endParaRPr lang="en-US" sz="2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923290</xdr:colOff>
      <xdr:row>70</xdr:row>
      <xdr:rowOff>5715</xdr:rowOff>
    </xdr:from>
    <xdr:to>
      <xdr:col>14</xdr:col>
      <xdr:colOff>628015</xdr:colOff>
      <xdr:row>72</xdr:row>
      <xdr:rowOff>20955</xdr:rowOff>
    </xdr:to>
    <xdr:sp>
      <xdr:nvSpPr>
        <xdr:cNvPr id="18" name="Text Box 17"/>
        <xdr:cNvSpPr txBox="1"/>
      </xdr:nvSpPr>
      <xdr:spPr>
        <a:xfrm>
          <a:off x="10683240" y="12807315"/>
          <a:ext cx="62801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latin typeface="Arial" panose="020B0604020202020204" pitchFamily="7" charset="0"/>
              <a:cs typeface="Arial" panose="020B0604020202020204" pitchFamily="7" charset="0"/>
            </a:rPr>
            <a:t>(b)</a:t>
          </a:r>
          <a:endParaRPr lang="en-US" sz="2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0.683822336898312</cdr:x>
      <cdr:y>0.758333333333333</cdr:y>
    </cdr:from>
    <cdr:to>
      <cdr:x>0.911821146304008</cdr:x>
      <cdr:y>0.817777777777777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4373536" y="3467100"/>
          <a:ext cx="1458217" cy="271780"/>
        </a:xfrm>
        <a:prstGeom xmlns:a="http://schemas.openxmlformats.org/drawingml/2006/main"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cdr:spPr>
      <cdr:txBody xmlns:a="http://schemas.openxmlformats.org/drawingml/2006/main">
        <a:bodyPr vertOverflow="clip" horzOverflow="clip" wrap="square" rtlCol="0" anchor="t"/>
        <a:p>
          <a:r>
            <a:rPr lang="en-US" b="1">
              <a:solidFill>
                <a:schemeClr val="accent5">
                  <a:lumMod val="75000"/>
                </a:schemeClr>
              </a:solidFill>
              <a:uFillTx/>
            </a:rPr>
            <a:t>4 GPU (TAIWANIA 2)</a:t>
          </a:r>
          <a:endParaRPr lang="en-US" b="1">
            <a:solidFill>
              <a:schemeClr val="accent5">
                <a:lumMod val="75000"/>
              </a:schemeClr>
            </a:solidFill>
            <a:uFillTx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511175</xdr:colOff>
      <xdr:row>22</xdr:row>
      <xdr:rowOff>45085</xdr:rowOff>
    </xdr:from>
    <xdr:to>
      <xdr:col>6</xdr:col>
      <xdr:colOff>954405</xdr:colOff>
      <xdr:row>50</xdr:row>
      <xdr:rowOff>156845</xdr:rowOff>
    </xdr:to>
    <xdr:graphicFrame>
      <xdr:nvGraphicFramePr>
        <xdr:cNvPr id="2" name="Chart 1"/>
        <xdr:cNvGraphicFramePr/>
      </xdr:nvGraphicFramePr>
      <xdr:xfrm>
        <a:off x="1851660" y="4068445"/>
        <a:ext cx="6266180" cy="523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1042035</xdr:colOff>
      <xdr:row>46</xdr:row>
      <xdr:rowOff>137795</xdr:rowOff>
    </xdr:from>
    <xdr:to>
      <xdr:col>10</xdr:col>
      <xdr:colOff>232410</xdr:colOff>
      <xdr:row>70</xdr:row>
      <xdr:rowOff>137795</xdr:rowOff>
    </xdr:to>
    <xdr:graphicFrame>
      <xdr:nvGraphicFramePr>
        <xdr:cNvPr id="2" name="Chart 1"/>
        <xdr:cNvGraphicFramePr/>
      </xdr:nvGraphicFramePr>
      <xdr:xfrm>
        <a:off x="2263140" y="8550275"/>
        <a:ext cx="5703570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673100</xdr:colOff>
      <xdr:row>20</xdr:row>
      <xdr:rowOff>12700</xdr:rowOff>
    </xdr:from>
    <xdr:to>
      <xdr:col>9</xdr:col>
      <xdr:colOff>425450</xdr:colOff>
      <xdr:row>43</xdr:row>
      <xdr:rowOff>148590</xdr:rowOff>
    </xdr:to>
    <xdr:graphicFrame>
      <xdr:nvGraphicFramePr>
        <xdr:cNvPr id="3" name="Chart 2"/>
        <xdr:cNvGraphicFramePr/>
      </xdr:nvGraphicFramePr>
      <xdr:xfrm>
        <a:off x="1234440" y="3670300"/>
        <a:ext cx="6308090" cy="4342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346075</xdr:colOff>
      <xdr:row>19</xdr:row>
      <xdr:rowOff>188595</xdr:rowOff>
    </xdr:from>
    <xdr:to>
      <xdr:col>18</xdr:col>
      <xdr:colOff>479425</xdr:colOff>
      <xdr:row>43</xdr:row>
      <xdr:rowOff>171450</xdr:rowOff>
    </xdr:to>
    <xdr:graphicFrame>
      <xdr:nvGraphicFramePr>
        <xdr:cNvPr id="4" name="Chart 3"/>
        <xdr:cNvGraphicFramePr/>
      </xdr:nvGraphicFramePr>
      <xdr:xfrm>
        <a:off x="8080375" y="3657600"/>
        <a:ext cx="6066790" cy="4377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106045</xdr:colOff>
      <xdr:row>20</xdr:row>
      <xdr:rowOff>2540</xdr:rowOff>
    </xdr:from>
    <xdr:to>
      <xdr:col>26</xdr:col>
      <xdr:colOff>416560</xdr:colOff>
      <xdr:row>43</xdr:row>
      <xdr:rowOff>154305</xdr:rowOff>
    </xdr:to>
    <xdr:graphicFrame>
      <xdr:nvGraphicFramePr>
        <xdr:cNvPr id="5" name="Chart 4"/>
        <xdr:cNvGraphicFramePr/>
      </xdr:nvGraphicFramePr>
      <xdr:xfrm>
        <a:off x="14639925" y="3660140"/>
        <a:ext cx="5875655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680085</xdr:colOff>
      <xdr:row>46</xdr:row>
      <xdr:rowOff>155575</xdr:rowOff>
    </xdr:from>
    <xdr:to>
      <xdr:col>17</xdr:col>
      <xdr:colOff>490855</xdr:colOff>
      <xdr:row>70</xdr:row>
      <xdr:rowOff>155575</xdr:rowOff>
    </xdr:to>
    <xdr:graphicFrame>
      <xdr:nvGraphicFramePr>
        <xdr:cNvPr id="6" name="Chart 5"/>
        <xdr:cNvGraphicFramePr/>
      </xdr:nvGraphicFramePr>
      <xdr:xfrm>
        <a:off x="7734300" y="8568055"/>
        <a:ext cx="5807075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584835</xdr:colOff>
      <xdr:row>53</xdr:row>
      <xdr:rowOff>20955</xdr:rowOff>
    </xdr:from>
    <xdr:to>
      <xdr:col>15</xdr:col>
      <xdr:colOff>699135</xdr:colOff>
      <xdr:row>54</xdr:row>
      <xdr:rowOff>110490</xdr:rowOff>
    </xdr:to>
    <xdr:sp>
      <xdr:nvSpPr>
        <xdr:cNvPr id="7" name="Text Box 6"/>
        <xdr:cNvSpPr txBox="1"/>
      </xdr:nvSpPr>
      <xdr:spPr>
        <a:xfrm>
          <a:off x="11285855" y="9713595"/>
          <a:ext cx="980440" cy="27241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600"/>
            <a:t>speedup</a:t>
          </a:r>
          <a:endParaRPr lang="en-US" sz="1600"/>
        </a:p>
      </xdr:txBody>
    </xdr:sp>
    <xdr:clientData/>
  </xdr:twoCellAnchor>
  <xdr:twoCellAnchor>
    <xdr:from>
      <xdr:col>15</xdr:col>
      <xdr:colOff>447040</xdr:colOff>
      <xdr:row>61</xdr:row>
      <xdr:rowOff>166370</xdr:rowOff>
    </xdr:from>
    <xdr:to>
      <xdr:col>16</xdr:col>
      <xdr:colOff>556260</xdr:colOff>
      <xdr:row>63</xdr:row>
      <xdr:rowOff>65405</xdr:rowOff>
    </xdr:to>
    <xdr:sp>
      <xdr:nvSpPr>
        <xdr:cNvPr id="8" name="Text Box 7"/>
        <xdr:cNvSpPr txBox="1"/>
      </xdr:nvSpPr>
      <xdr:spPr>
        <a:xfrm>
          <a:off x="12014200" y="11322050"/>
          <a:ext cx="975360" cy="26479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600"/>
            <a:t>cost ratio</a:t>
          </a:r>
          <a:endParaRPr lang="en-US" sz="1600"/>
        </a:p>
      </xdr:txBody>
    </xdr:sp>
    <xdr:clientData/>
  </xdr:twoCellAnchor>
  <xdr:twoCellAnchor>
    <xdr:from>
      <xdr:col>6</xdr:col>
      <xdr:colOff>59690</xdr:colOff>
      <xdr:row>63</xdr:row>
      <xdr:rowOff>15875</xdr:rowOff>
    </xdr:from>
    <xdr:to>
      <xdr:col>6</xdr:col>
      <xdr:colOff>438150</xdr:colOff>
      <xdr:row>63</xdr:row>
      <xdr:rowOff>171450</xdr:rowOff>
    </xdr:to>
    <xdr:cxnSp>
      <xdr:nvCxnSpPr>
        <xdr:cNvPr id="9" name="Straight Arrow Connector 8"/>
        <xdr:cNvCxnSpPr/>
      </xdr:nvCxnSpPr>
      <xdr:spPr>
        <a:xfrm>
          <a:off x="4939030" y="11537315"/>
          <a:ext cx="378460" cy="15557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70</xdr:row>
      <xdr:rowOff>0</xdr:rowOff>
    </xdr:from>
    <xdr:to>
      <xdr:col>6</xdr:col>
      <xdr:colOff>942975</xdr:colOff>
      <xdr:row>72</xdr:row>
      <xdr:rowOff>15240</xdr:rowOff>
    </xdr:to>
    <xdr:sp>
      <xdr:nvSpPr>
        <xdr:cNvPr id="17" name="Text Box 16"/>
        <xdr:cNvSpPr txBox="1"/>
      </xdr:nvSpPr>
      <xdr:spPr>
        <a:xfrm>
          <a:off x="5155565" y="12801600"/>
          <a:ext cx="58991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latin typeface="Arial" panose="020B0604020202020204" pitchFamily="7" charset="0"/>
              <a:cs typeface="Arial" panose="020B0604020202020204" pitchFamily="7" charset="0"/>
            </a:rPr>
            <a:t>(a)</a:t>
          </a:r>
          <a:endParaRPr lang="en-US" sz="2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923290</xdr:colOff>
      <xdr:row>70</xdr:row>
      <xdr:rowOff>5715</xdr:rowOff>
    </xdr:from>
    <xdr:to>
      <xdr:col>14</xdr:col>
      <xdr:colOff>628015</xdr:colOff>
      <xdr:row>72</xdr:row>
      <xdr:rowOff>20955</xdr:rowOff>
    </xdr:to>
    <xdr:sp>
      <xdr:nvSpPr>
        <xdr:cNvPr id="18" name="Text Box 17"/>
        <xdr:cNvSpPr txBox="1"/>
      </xdr:nvSpPr>
      <xdr:spPr>
        <a:xfrm>
          <a:off x="10701020" y="12807315"/>
          <a:ext cx="62801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latin typeface="Arial" panose="020B0604020202020204" pitchFamily="7" charset="0"/>
              <a:cs typeface="Arial" panose="020B0604020202020204" pitchFamily="7" charset="0"/>
            </a:rPr>
            <a:t>(b)</a:t>
          </a:r>
          <a:endParaRPr lang="en-US" sz="2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0.541472146495738</cdr:x>
      <cdr:y>0.681666666666667</cdr:y>
    </cdr:from>
    <cdr:to>
      <cdr:x>0.769470955901434</cdr:x>
      <cdr:y>0.741111111111111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3460697" y="3116580"/>
          <a:ext cx="1457203" cy="271780"/>
        </a:xfrm>
        <a:prstGeom xmlns:a="http://schemas.openxmlformats.org/drawingml/2006/main"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cdr:spPr>
      <cdr:txBody xmlns:a="http://schemas.openxmlformats.org/drawingml/2006/main"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b="1">
              <a:solidFill>
                <a:schemeClr val="accent5">
                  <a:lumMod val="75000"/>
                </a:schemeClr>
              </a:solidFill>
              <a:uFillTx/>
            </a:rPr>
            <a:t>1 GPU (TAIWANIA 2)</a:t>
          </a:r>
          <a:endParaRPr lang="en-US" b="1">
            <a:solidFill>
              <a:schemeClr val="accent5">
                <a:lumMod val="75000"/>
              </a:schemeClr>
            </a:solidFill>
            <a:uFillTx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1041400</xdr:colOff>
      <xdr:row>46</xdr:row>
      <xdr:rowOff>112395</xdr:rowOff>
    </xdr:from>
    <xdr:to>
      <xdr:col>10</xdr:col>
      <xdr:colOff>231775</xdr:colOff>
      <xdr:row>70</xdr:row>
      <xdr:rowOff>112395</xdr:rowOff>
    </xdr:to>
    <xdr:graphicFrame>
      <xdr:nvGraphicFramePr>
        <xdr:cNvPr id="2" name="Chart 1"/>
        <xdr:cNvGraphicFramePr/>
      </xdr:nvGraphicFramePr>
      <xdr:xfrm>
        <a:off x="2263140" y="8524875"/>
        <a:ext cx="5685155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65405</xdr:colOff>
      <xdr:row>20</xdr:row>
      <xdr:rowOff>40005</xdr:rowOff>
    </xdr:from>
    <xdr:to>
      <xdr:col>9</xdr:col>
      <xdr:colOff>503555</xdr:colOff>
      <xdr:row>43</xdr:row>
      <xdr:rowOff>175895</xdr:rowOff>
    </xdr:to>
    <xdr:graphicFrame>
      <xdr:nvGraphicFramePr>
        <xdr:cNvPr id="3" name="Chart 2"/>
        <xdr:cNvGraphicFramePr/>
      </xdr:nvGraphicFramePr>
      <xdr:xfrm>
        <a:off x="1299845" y="3697605"/>
        <a:ext cx="6303010" cy="4342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494665</xdr:colOff>
      <xdr:row>20</xdr:row>
      <xdr:rowOff>52070</xdr:rowOff>
    </xdr:from>
    <xdr:to>
      <xdr:col>18</xdr:col>
      <xdr:colOff>628015</xdr:colOff>
      <xdr:row>44</xdr:row>
      <xdr:rowOff>34925</xdr:rowOff>
    </xdr:to>
    <xdr:graphicFrame>
      <xdr:nvGraphicFramePr>
        <xdr:cNvPr id="4" name="Chart 3"/>
        <xdr:cNvGraphicFramePr/>
      </xdr:nvGraphicFramePr>
      <xdr:xfrm>
        <a:off x="8211185" y="3709670"/>
        <a:ext cx="6066790" cy="437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201930</xdr:colOff>
      <xdr:row>20</xdr:row>
      <xdr:rowOff>43815</xdr:rowOff>
    </xdr:from>
    <xdr:to>
      <xdr:col>26</xdr:col>
      <xdr:colOff>512445</xdr:colOff>
      <xdr:row>44</xdr:row>
      <xdr:rowOff>5080</xdr:rowOff>
    </xdr:to>
    <xdr:graphicFrame>
      <xdr:nvGraphicFramePr>
        <xdr:cNvPr id="5" name="Chart 4"/>
        <xdr:cNvGraphicFramePr/>
      </xdr:nvGraphicFramePr>
      <xdr:xfrm>
        <a:off x="14718030" y="3701415"/>
        <a:ext cx="5875655" cy="4350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680085</xdr:colOff>
      <xdr:row>46</xdr:row>
      <xdr:rowOff>155575</xdr:rowOff>
    </xdr:from>
    <xdr:to>
      <xdr:col>17</xdr:col>
      <xdr:colOff>490855</xdr:colOff>
      <xdr:row>70</xdr:row>
      <xdr:rowOff>155575</xdr:rowOff>
    </xdr:to>
    <xdr:graphicFrame>
      <xdr:nvGraphicFramePr>
        <xdr:cNvPr id="6" name="Chart 5"/>
        <xdr:cNvGraphicFramePr/>
      </xdr:nvGraphicFramePr>
      <xdr:xfrm>
        <a:off x="7716520" y="8568055"/>
        <a:ext cx="5807075" cy="43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535940</xdr:colOff>
      <xdr:row>52</xdr:row>
      <xdr:rowOff>111760</xdr:rowOff>
    </xdr:from>
    <xdr:to>
      <xdr:col>15</xdr:col>
      <xdr:colOff>650240</xdr:colOff>
      <xdr:row>54</xdr:row>
      <xdr:rowOff>10795</xdr:rowOff>
    </xdr:to>
    <xdr:sp>
      <xdr:nvSpPr>
        <xdr:cNvPr id="7" name="Text Box 6"/>
        <xdr:cNvSpPr txBox="1"/>
      </xdr:nvSpPr>
      <xdr:spPr>
        <a:xfrm rot="21360000">
          <a:off x="11219180" y="9621520"/>
          <a:ext cx="980440" cy="26479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600"/>
            <a:t>speedup</a:t>
          </a:r>
          <a:endParaRPr lang="en-US" sz="1600"/>
        </a:p>
      </xdr:txBody>
    </xdr:sp>
    <xdr:clientData/>
  </xdr:twoCellAnchor>
  <xdr:twoCellAnchor>
    <xdr:from>
      <xdr:col>15</xdr:col>
      <xdr:colOff>314325</xdr:colOff>
      <xdr:row>63</xdr:row>
      <xdr:rowOff>121285</xdr:rowOff>
    </xdr:from>
    <xdr:to>
      <xdr:col>16</xdr:col>
      <xdr:colOff>422275</xdr:colOff>
      <xdr:row>65</xdr:row>
      <xdr:rowOff>20320</xdr:rowOff>
    </xdr:to>
    <xdr:sp>
      <xdr:nvSpPr>
        <xdr:cNvPr id="8" name="Text Box 7"/>
        <xdr:cNvSpPr txBox="1"/>
      </xdr:nvSpPr>
      <xdr:spPr>
        <a:xfrm>
          <a:off x="11863705" y="11642725"/>
          <a:ext cx="974090" cy="264795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600"/>
            <a:t>cost ratio</a:t>
          </a:r>
          <a:endParaRPr lang="en-US" sz="1600"/>
        </a:p>
      </xdr:txBody>
    </xdr:sp>
    <xdr:clientData/>
  </xdr:twoCellAnchor>
  <xdr:twoCellAnchor>
    <xdr:from>
      <xdr:col>5</xdr:col>
      <xdr:colOff>462915</xdr:colOff>
      <xdr:row>61</xdr:row>
      <xdr:rowOff>49530</xdr:rowOff>
    </xdr:from>
    <xdr:to>
      <xdr:col>5</xdr:col>
      <xdr:colOff>837565</xdr:colOff>
      <xdr:row>62</xdr:row>
      <xdr:rowOff>100330</xdr:rowOff>
    </xdr:to>
    <xdr:cxnSp>
      <xdr:nvCxnSpPr>
        <xdr:cNvPr id="9" name="Straight Arrow Connector 8"/>
        <xdr:cNvCxnSpPr/>
      </xdr:nvCxnSpPr>
      <xdr:spPr>
        <a:xfrm>
          <a:off x="4458335" y="11205210"/>
          <a:ext cx="374650" cy="2336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70</xdr:row>
      <xdr:rowOff>0</xdr:rowOff>
    </xdr:from>
    <xdr:to>
      <xdr:col>6</xdr:col>
      <xdr:colOff>942975</xdr:colOff>
      <xdr:row>72</xdr:row>
      <xdr:rowOff>15240</xdr:rowOff>
    </xdr:to>
    <xdr:sp>
      <xdr:nvSpPr>
        <xdr:cNvPr id="17" name="Text Box 16"/>
        <xdr:cNvSpPr txBox="1"/>
      </xdr:nvSpPr>
      <xdr:spPr>
        <a:xfrm>
          <a:off x="5137785" y="12801600"/>
          <a:ext cx="58991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latin typeface="Arial" panose="020B0604020202020204" pitchFamily="7" charset="0"/>
              <a:cs typeface="Arial" panose="020B0604020202020204" pitchFamily="7" charset="0"/>
            </a:rPr>
            <a:t>(a)</a:t>
          </a:r>
          <a:endParaRPr lang="en-US" sz="2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923290</xdr:colOff>
      <xdr:row>70</xdr:row>
      <xdr:rowOff>5715</xdr:rowOff>
    </xdr:from>
    <xdr:to>
      <xdr:col>14</xdr:col>
      <xdr:colOff>628015</xdr:colOff>
      <xdr:row>72</xdr:row>
      <xdr:rowOff>20955</xdr:rowOff>
    </xdr:to>
    <xdr:sp>
      <xdr:nvSpPr>
        <xdr:cNvPr id="18" name="Text Box 17"/>
        <xdr:cNvSpPr txBox="1"/>
      </xdr:nvSpPr>
      <xdr:spPr>
        <a:xfrm>
          <a:off x="10683240" y="12807315"/>
          <a:ext cx="628015" cy="38100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latin typeface="Arial" panose="020B0604020202020204" pitchFamily="7" charset="0"/>
              <a:cs typeface="Arial" panose="020B0604020202020204" pitchFamily="7" charset="0"/>
            </a:rPr>
            <a:t>(b)</a:t>
          </a:r>
          <a:endParaRPr lang="en-US" sz="22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483870</xdr:colOff>
      <xdr:row>62</xdr:row>
      <xdr:rowOff>13335</xdr:rowOff>
    </xdr:from>
    <xdr:to>
      <xdr:col>9</xdr:col>
      <xdr:colOff>406400</xdr:colOff>
      <xdr:row>63</xdr:row>
      <xdr:rowOff>45085</xdr:rowOff>
    </xdr:to>
    <xdr:sp>
      <xdr:nvSpPr>
        <xdr:cNvPr id="21" name="Rectangles 20"/>
        <xdr:cNvSpPr/>
      </xdr:nvSpPr>
      <xdr:spPr>
        <a:xfrm>
          <a:off x="6211570" y="11351895"/>
          <a:ext cx="1294130" cy="214630"/>
        </a:xfrm>
        <a:prstGeom prst="rect">
          <a:avLst/>
        </a:prstGeom>
        <a:ln w="12700" cmpd="sng">
          <a:solidFill>
            <a:schemeClr val="accent4"/>
          </a:solidFill>
          <a:prstDash val="solid"/>
        </a:ln>
      </xdr:spPr>
      <xdr:txBody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000" b="1">
              <a:solidFill>
                <a:schemeClr val="accent4"/>
              </a:solidFill>
              <a:uFillTx/>
            </a:rPr>
            <a:t>1 CPU (FORERUNNER 1)</a:t>
          </a:r>
          <a:endParaRPr lang="en-US" sz="1000" b="1">
            <a:solidFill>
              <a:schemeClr val="accent4"/>
            </a:solidFill>
            <a:uFillTx/>
          </a:endParaRPr>
        </a:p>
      </xdr:txBody>
    </xdr:sp>
    <xdr:clientData/>
  </xdr:twoCellAnchor>
  <xdr:twoCellAnchor>
    <xdr:from>
      <xdr:col>7</xdr:col>
      <xdr:colOff>200025</xdr:colOff>
      <xdr:row>62</xdr:row>
      <xdr:rowOff>124460</xdr:rowOff>
    </xdr:from>
    <xdr:to>
      <xdr:col>7</xdr:col>
      <xdr:colOff>483235</xdr:colOff>
      <xdr:row>63</xdr:row>
      <xdr:rowOff>142875</xdr:rowOff>
    </xdr:to>
    <xdr:cxnSp>
      <xdr:nvCxnSpPr>
        <xdr:cNvPr id="22" name="Straight Arrow Connector 21"/>
        <xdr:cNvCxnSpPr>
          <a:endCxn id="21" idx="1"/>
        </xdr:cNvCxnSpPr>
      </xdr:nvCxnSpPr>
      <xdr:spPr>
        <a:xfrm flipV="1">
          <a:off x="5927725" y="11463020"/>
          <a:ext cx="283210" cy="201295"/>
        </a:xfrm>
        <a:prstGeom prst="straightConnector1">
          <a:avLst/>
        </a:prstGeom>
        <a:ln>
          <a:solidFill>
            <a:schemeClr val="accent4"/>
          </a:solidFill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0.452087475149105</cdr:x>
      <cdr:y>0.638194444444444</cdr:y>
    </cdr:from>
    <cdr:to>
      <cdr:x>0.651590457256461</cdr:x>
      <cdr:y>0.686805555555556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887980" y="2917825"/>
          <a:ext cx="1274445" cy="222250"/>
        </a:xfrm>
        <a:prstGeom xmlns:a="http://schemas.openxmlformats.org/drawingml/2006/main"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cdr:spPr>
      <cdr:txBody xmlns:a="http://schemas.openxmlformats.org/drawingml/2006/main"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000" b="1">
              <a:solidFill>
                <a:schemeClr val="accent5">
                  <a:lumMod val="75000"/>
                </a:schemeClr>
              </a:solidFill>
              <a:uFillTx/>
            </a:rPr>
            <a:t>1 GPU (TAIWANIA 2)</a:t>
          </a:r>
          <a:endParaRPr lang="en-US" sz="1000" b="1">
            <a:solidFill>
              <a:schemeClr val="accent5">
                <a:lumMod val="75000"/>
              </a:schemeClr>
            </a:solidFill>
            <a:uFillTx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1535430</xdr:colOff>
      <xdr:row>5</xdr:row>
      <xdr:rowOff>28575</xdr:rowOff>
    </xdr:from>
    <xdr:to>
      <xdr:col>9</xdr:col>
      <xdr:colOff>1052830</xdr:colOff>
      <xdr:row>30</xdr:row>
      <xdr:rowOff>171450</xdr:rowOff>
    </xdr:to>
    <xdr:graphicFrame>
      <xdr:nvGraphicFramePr>
        <xdr:cNvPr id="5" name="Chart 4"/>
        <xdr:cNvGraphicFramePr/>
      </xdr:nvGraphicFramePr>
      <xdr:xfrm>
        <a:off x="5031740" y="942975"/>
        <a:ext cx="6060440" cy="4714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0.x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tabSelected="1" zoomScale="85" zoomScaleNormal="85" topLeftCell="A69" workbookViewId="0">
      <selection activeCell="L95" sqref="L95"/>
    </sheetView>
  </sheetViews>
  <sheetFormatPr defaultColWidth="9" defaultRowHeight="14.4"/>
  <cols>
    <col min="1" max="1" width="18.037037037037" customWidth="1"/>
    <col min="3" max="3" width="15" customWidth="1"/>
    <col min="4" max="4" width="14.8796296296296" customWidth="1"/>
    <col min="5" max="5" width="20.75" customWidth="1"/>
    <col min="6" max="7" width="19.8796296296296" customWidth="1"/>
    <col min="8" max="8" width="20.3796296296296" customWidth="1"/>
    <col min="9" max="10" width="16.3796296296296" customWidth="1"/>
    <col min="11" max="13" width="19.8148148148148" customWidth="1"/>
    <col min="14" max="15" width="18.6296296296296" customWidth="1"/>
    <col min="16" max="16" width="19" customWidth="1"/>
    <col min="17" max="17" width="18" customWidth="1"/>
    <col min="18" max="23" width="20.5" customWidth="1"/>
    <col min="24" max="24" width="17.4907407407407" customWidth="1"/>
    <col min="25" max="25" width="14.4537037037037" customWidth="1"/>
  </cols>
  <sheetData>
    <row r="2" spans="1:2">
      <c r="A2" t="s">
        <v>0</v>
      </c>
      <c r="B2" t="s">
        <v>1</v>
      </c>
    </row>
    <row r="3" spans="1:9">
      <c r="A3" t="s">
        <v>2</v>
      </c>
      <c r="B3" t="s">
        <v>3</v>
      </c>
      <c r="I3" s="6" t="s">
        <v>4</v>
      </c>
    </row>
    <row r="4" spans="1:9">
      <c r="A4" t="s">
        <v>5</v>
      </c>
      <c r="B4" t="s">
        <v>6</v>
      </c>
      <c r="I4" s="6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9">
      <c r="A7" s="57" t="s">
        <v>12</v>
      </c>
      <c r="B7" t="s">
        <v>13</v>
      </c>
      <c r="F7" s="6"/>
      <c r="G7" s="6"/>
      <c r="H7" t="s">
        <v>14</v>
      </c>
      <c r="I7" s="6" t="s">
        <v>15</v>
      </c>
    </row>
    <row r="8" spans="1:9">
      <c r="A8" s="57" t="s">
        <v>16</v>
      </c>
      <c r="B8" t="s">
        <v>17</v>
      </c>
      <c r="F8" s="6"/>
      <c r="G8" s="6"/>
      <c r="H8" t="s">
        <v>14</v>
      </c>
      <c r="I8" s="6" t="s">
        <v>18</v>
      </c>
    </row>
    <row r="9" spans="1:2">
      <c r="A9" t="s">
        <v>19</v>
      </c>
      <c r="B9" t="s">
        <v>20</v>
      </c>
    </row>
    <row r="10" spans="1:8">
      <c r="A10" t="s">
        <v>21</v>
      </c>
      <c r="B10" t="s">
        <v>22</v>
      </c>
      <c r="H10" t="s">
        <v>14</v>
      </c>
    </row>
    <row r="12" spans="5:25">
      <c r="E12" s="60" t="s">
        <v>23</v>
      </c>
      <c r="F12" s="60"/>
      <c r="G12" s="60"/>
      <c r="H12" s="60"/>
      <c r="I12" s="60"/>
      <c r="J12" s="60"/>
      <c r="K12" s="49" t="s">
        <v>24</v>
      </c>
      <c r="L12" s="49"/>
      <c r="M12" s="49"/>
      <c r="N12" s="49"/>
      <c r="O12" s="49"/>
      <c r="P12" s="49" t="s">
        <v>25</v>
      </c>
      <c r="Q12" s="49"/>
      <c r="R12" s="49"/>
      <c r="S12" s="49"/>
      <c r="T12" s="49"/>
      <c r="U12" s="49"/>
      <c r="V12" s="49"/>
      <c r="W12" s="49"/>
      <c r="X12" s="49"/>
      <c r="Y12" s="49"/>
    </row>
    <row r="13" spans="3:24">
      <c r="C13" s="49" t="s">
        <v>26</v>
      </c>
      <c r="D13" s="49" t="s">
        <v>27</v>
      </c>
      <c r="E13" s="49" t="s">
        <v>28</v>
      </c>
      <c r="F13" s="49" t="s">
        <v>29</v>
      </c>
      <c r="G13" s="49" t="s">
        <v>30</v>
      </c>
      <c r="H13" s="49" t="s">
        <v>31</v>
      </c>
      <c r="I13" s="49" t="s">
        <v>32</v>
      </c>
      <c r="J13" s="49" t="s">
        <v>33</v>
      </c>
      <c r="K13" s="49" t="s">
        <v>12</v>
      </c>
      <c r="L13" s="62" t="s">
        <v>16</v>
      </c>
      <c r="M13" s="63" t="s">
        <v>34</v>
      </c>
      <c r="N13" s="62" t="s">
        <v>21</v>
      </c>
      <c r="O13" s="49" t="s">
        <v>28</v>
      </c>
      <c r="P13" s="49" t="s">
        <v>29</v>
      </c>
      <c r="Q13" s="49" t="s">
        <v>30</v>
      </c>
      <c r="R13" s="49" t="s">
        <v>31</v>
      </c>
      <c r="S13" s="49" t="s">
        <v>32</v>
      </c>
      <c r="T13" s="49" t="s">
        <v>33</v>
      </c>
      <c r="U13" s="49" t="s">
        <v>12</v>
      </c>
      <c r="V13" s="49" t="s">
        <v>16</v>
      </c>
      <c r="W13" s="49" t="s">
        <v>34</v>
      </c>
      <c r="X13" s="49" t="s">
        <v>21</v>
      </c>
    </row>
    <row r="14" spans="2:25">
      <c r="B14" s="4" t="s">
        <v>35</v>
      </c>
      <c r="C14" s="52">
        <f>0.9936*1000000</f>
        <v>993600</v>
      </c>
      <c r="D14" s="51">
        <v>0.906</v>
      </c>
      <c r="E14" s="4">
        <v>51.483461708</v>
      </c>
      <c r="F14">
        <v>48.170765848</v>
      </c>
      <c r="G14" s="4">
        <v>124.60778905</v>
      </c>
      <c r="H14">
        <v>209.810182026</v>
      </c>
      <c r="I14" s="4">
        <v>459.448692131</v>
      </c>
      <c r="J14" s="4">
        <v>349.128714613616</v>
      </c>
      <c r="K14" s="4">
        <v>62.6612504981458</v>
      </c>
      <c r="L14" s="56">
        <v>180.22743499279</v>
      </c>
      <c r="M14" s="64">
        <v>225.633011325</v>
      </c>
      <c r="N14" s="53">
        <v>210.118173579045</v>
      </c>
      <c r="O14">
        <f t="shared" ref="O14:O22" si="0">C14/E14</f>
        <v>19299.4015366609</v>
      </c>
      <c r="P14">
        <f t="shared" ref="P14:P22" si="1">C14/F14</f>
        <v>20626.6182924151</v>
      </c>
      <c r="Q14">
        <f t="shared" ref="Q14:Q22" si="2">C14/G14</f>
        <v>7973.81935411204</v>
      </c>
      <c r="R14">
        <f t="shared" ref="R14:R22" si="3">C14/H14</f>
        <v>4735.70915579717</v>
      </c>
      <c r="S14">
        <f t="shared" ref="S14:S22" si="4">C14/I14</f>
        <v>2162.59185632136</v>
      </c>
      <c r="T14">
        <f t="shared" ref="T14:T22" si="5">C14/J14</f>
        <v>2845.94179284172</v>
      </c>
      <c r="U14">
        <f t="shared" ref="U14:U22" si="6">C14/K14</f>
        <v>15856.6896144117</v>
      </c>
      <c r="V14">
        <f t="shared" ref="V14:V22" si="7">C14/L14</f>
        <v>5513.03412845968</v>
      </c>
      <c r="W14">
        <f t="shared" ref="W14:W22" si="8">C14/M14</f>
        <v>4403.61095287084</v>
      </c>
      <c r="X14">
        <f t="shared" ref="X14:X22" si="9">C14/N14</f>
        <v>4728.76754578401</v>
      </c>
      <c r="Y14" s="4" t="s">
        <v>35</v>
      </c>
    </row>
    <row r="15" spans="2:25">
      <c r="B15" s="4" t="s">
        <v>36</v>
      </c>
      <c r="C15" s="52">
        <f>2.111984*1000000</f>
        <v>2111984</v>
      </c>
      <c r="D15" s="51">
        <v>1.296</v>
      </c>
      <c r="E15" s="4">
        <v>78.554140164</v>
      </c>
      <c r="F15">
        <v>75.083887283</v>
      </c>
      <c r="G15" s="4">
        <v>220.875420268</v>
      </c>
      <c r="H15">
        <v>407.445817578</v>
      </c>
      <c r="I15" s="4">
        <v>936.391521038</v>
      </c>
      <c r="J15" s="4">
        <v>499.737398777157</v>
      </c>
      <c r="K15" s="4">
        <v>165.443820804358</v>
      </c>
      <c r="L15" s="56">
        <v>471.707965753973</v>
      </c>
      <c r="M15" s="64">
        <v>544.085451286</v>
      </c>
      <c r="N15" s="53">
        <v>593.737605982868</v>
      </c>
      <c r="O15">
        <f t="shared" si="0"/>
        <v>26885.712141852</v>
      </c>
      <c r="P15">
        <f t="shared" si="1"/>
        <v>28128.3252162969</v>
      </c>
      <c r="Q15">
        <f t="shared" si="2"/>
        <v>9561.87880678355</v>
      </c>
      <c r="R15">
        <f t="shared" si="3"/>
        <v>5183.47203207133</v>
      </c>
      <c r="S15">
        <f t="shared" si="4"/>
        <v>2255.44972647642</v>
      </c>
      <c r="T15">
        <f t="shared" si="5"/>
        <v>4226.18760406558</v>
      </c>
      <c r="U15">
        <f t="shared" si="6"/>
        <v>12765.5659167681</v>
      </c>
      <c r="V15">
        <f t="shared" si="7"/>
        <v>4477.31256058868</v>
      </c>
      <c r="W15">
        <f t="shared" si="8"/>
        <v>3881.71379147911</v>
      </c>
      <c r="X15">
        <f t="shared" si="9"/>
        <v>3557.09993559165</v>
      </c>
      <c r="Y15" s="4" t="s">
        <v>36</v>
      </c>
    </row>
    <row r="16" spans="2:25">
      <c r="B16" s="4" t="s">
        <v>37</v>
      </c>
      <c r="C16" s="52">
        <f>4.077216*1000000</f>
        <v>4077216</v>
      </c>
      <c r="D16" s="51">
        <v>1.932</v>
      </c>
      <c r="E16" s="4">
        <v>132.484483678</v>
      </c>
      <c r="F16">
        <v>127.651145612</v>
      </c>
      <c r="G16" s="4">
        <v>413.54868319</v>
      </c>
      <c r="H16">
        <v>780.531816162</v>
      </c>
      <c r="I16" s="4">
        <v>1830.003073681</v>
      </c>
      <c r="J16" s="4">
        <v>1197.49071133509</v>
      </c>
      <c r="K16" s="4">
        <v>362.124145563692</v>
      </c>
      <c r="L16" s="56">
        <v>1143.81608040631</v>
      </c>
      <c r="M16" s="64">
        <v>1402.277127635</v>
      </c>
      <c r="N16" s="53">
        <v>1569.11449432286</v>
      </c>
      <c r="O16">
        <f t="shared" si="0"/>
        <v>30775.0454001056</v>
      </c>
      <c r="P16">
        <f t="shared" si="1"/>
        <v>31940.300891563</v>
      </c>
      <c r="Q16">
        <f t="shared" si="2"/>
        <v>9859.09559317052</v>
      </c>
      <c r="R16">
        <f t="shared" si="3"/>
        <v>5223.63844186176</v>
      </c>
      <c r="S16">
        <f t="shared" si="4"/>
        <v>2227.98314310959</v>
      </c>
      <c r="T16">
        <f t="shared" si="5"/>
        <v>3404.7996877189</v>
      </c>
      <c r="U16">
        <f t="shared" si="6"/>
        <v>11259.1663658696</v>
      </c>
      <c r="V16">
        <f t="shared" si="7"/>
        <v>3564.57307240486</v>
      </c>
      <c r="W16">
        <f t="shared" si="8"/>
        <v>2907.56792623181</v>
      </c>
      <c r="X16">
        <f t="shared" si="9"/>
        <v>2598.41841672586</v>
      </c>
      <c r="Y16" s="4" t="s">
        <v>37</v>
      </c>
    </row>
    <row r="17" spans="2:25">
      <c r="B17" s="4" t="s">
        <v>38</v>
      </c>
      <c r="C17" s="52">
        <f>7.983668*1000000</f>
        <v>7983668</v>
      </c>
      <c r="D17" s="51">
        <v>3.212</v>
      </c>
      <c r="E17" s="4">
        <v>215.134604239</v>
      </c>
      <c r="F17">
        <v>211.822353751</v>
      </c>
      <c r="G17" s="4">
        <v>735.114779966</v>
      </c>
      <c r="H17">
        <v>1451.205389492</v>
      </c>
      <c r="I17" s="4">
        <v>3482.71564268</v>
      </c>
      <c r="J17" s="4">
        <v>3273.22164027393</v>
      </c>
      <c r="K17" s="4">
        <v>894.258165698498</v>
      </c>
      <c r="L17" s="56">
        <v>2547.9856958352</v>
      </c>
      <c r="M17" s="64">
        <v>3423.00398814</v>
      </c>
      <c r="N17" s="53">
        <v>3230.01199732476</v>
      </c>
      <c r="O17">
        <f t="shared" si="0"/>
        <v>37110.1061507087</v>
      </c>
      <c r="P17">
        <f t="shared" si="1"/>
        <v>37690.3941374616</v>
      </c>
      <c r="Q17">
        <f t="shared" si="2"/>
        <v>10860.4373324792</v>
      </c>
      <c r="R17">
        <f t="shared" si="3"/>
        <v>5501.40459635056</v>
      </c>
      <c r="S17">
        <f t="shared" si="4"/>
        <v>2292.36860516595</v>
      </c>
      <c r="T17">
        <f t="shared" si="5"/>
        <v>2439.08567075582</v>
      </c>
      <c r="U17">
        <f t="shared" si="6"/>
        <v>8927.69930008301</v>
      </c>
      <c r="V17">
        <f t="shared" si="7"/>
        <v>3133.32528241806</v>
      </c>
      <c r="W17">
        <f t="shared" si="8"/>
        <v>2332.35720076919</v>
      </c>
      <c r="X17">
        <f t="shared" si="9"/>
        <v>2471.71465821564</v>
      </c>
      <c r="Y17" s="4" t="s">
        <v>38</v>
      </c>
    </row>
    <row r="18" spans="2:25">
      <c r="B18" s="4" t="s">
        <v>39</v>
      </c>
      <c r="C18" s="52">
        <f>16.09512*1000000</f>
        <v>16095120</v>
      </c>
      <c r="D18" s="51">
        <v>5.852</v>
      </c>
      <c r="E18" s="4">
        <v>429.134277537</v>
      </c>
      <c r="F18">
        <v>425.118045501</v>
      </c>
      <c r="G18" s="4">
        <v>1490.223423063</v>
      </c>
      <c r="H18">
        <v>2960.621746292</v>
      </c>
      <c r="I18" s="4">
        <v>7195.264692498</v>
      </c>
      <c r="J18" s="4">
        <v>7977.44082343578</v>
      </c>
      <c r="K18" s="56">
        <v>2299.49357711896</v>
      </c>
      <c r="L18" s="56">
        <v>5575.08287202753</v>
      </c>
      <c r="M18" s="64">
        <v>6853.353053103</v>
      </c>
      <c r="N18" s="53">
        <v>7543.16779102758</v>
      </c>
      <c r="O18">
        <f t="shared" si="0"/>
        <v>37506.022805676</v>
      </c>
      <c r="P18">
        <f t="shared" si="1"/>
        <v>37860.3547187275</v>
      </c>
      <c r="Q18">
        <f t="shared" si="2"/>
        <v>10800.4744462533</v>
      </c>
      <c r="R18">
        <f t="shared" si="3"/>
        <v>5436.39862814565</v>
      </c>
      <c r="S18">
        <f t="shared" si="4"/>
        <v>2236.90450426115</v>
      </c>
      <c r="T18">
        <f t="shared" si="5"/>
        <v>2017.57936614415</v>
      </c>
      <c r="U18">
        <f t="shared" si="6"/>
        <v>6999.41942006449</v>
      </c>
      <c r="V18">
        <f t="shared" si="7"/>
        <v>2886.9741256683</v>
      </c>
      <c r="W18">
        <f t="shared" si="8"/>
        <v>2348.50297004801</v>
      </c>
      <c r="X18">
        <f t="shared" si="9"/>
        <v>2133.73485064786</v>
      </c>
      <c r="Y18" s="4" t="s">
        <v>39</v>
      </c>
    </row>
    <row r="19" spans="2:25">
      <c r="B19" s="4" t="s">
        <v>40</v>
      </c>
      <c r="C19" s="52">
        <f>24.0394*1000000</f>
        <v>24039400</v>
      </c>
      <c r="D19" s="51">
        <v>8.422</v>
      </c>
      <c r="E19" s="4">
        <v>627.929273147</v>
      </c>
      <c r="F19">
        <v>623.52995203</v>
      </c>
      <c r="G19" s="4">
        <v>2271.401917445</v>
      </c>
      <c r="H19">
        <v>4465.328486979</v>
      </c>
      <c r="I19" s="4">
        <v>11082.547974193</v>
      </c>
      <c r="J19" s="4">
        <v>13393.5481086783</v>
      </c>
      <c r="K19" s="56">
        <v>3931.52983221784</v>
      </c>
      <c r="L19" s="56">
        <v>8339.73606383801</v>
      </c>
      <c r="M19" s="64">
        <f>104.768041299*100</f>
        <v>10476.8041299</v>
      </c>
      <c r="N19" s="53">
        <v>11802.8810869647</v>
      </c>
      <c r="O19">
        <f t="shared" si="0"/>
        <v>38283.610954338</v>
      </c>
      <c r="P19">
        <f t="shared" si="1"/>
        <v>38553.7213116001</v>
      </c>
      <c r="Q19">
        <f t="shared" si="2"/>
        <v>10583.5078395288</v>
      </c>
      <c r="R19">
        <f t="shared" si="3"/>
        <v>5383.56810033113</v>
      </c>
      <c r="S19">
        <f t="shared" si="4"/>
        <v>2169.12212389953</v>
      </c>
      <c r="T19">
        <f t="shared" si="5"/>
        <v>1794.84926659753</v>
      </c>
      <c r="U19">
        <f t="shared" si="6"/>
        <v>6114.51547512206</v>
      </c>
      <c r="V19">
        <f t="shared" si="7"/>
        <v>2882.51328531096</v>
      </c>
      <c r="W19">
        <f t="shared" si="8"/>
        <v>2294.53559520058</v>
      </c>
      <c r="X19">
        <f t="shared" si="9"/>
        <v>2036.73999787641</v>
      </c>
      <c r="Y19" s="4" t="s">
        <v>40</v>
      </c>
    </row>
    <row r="20" spans="2:25">
      <c r="B20" s="4" t="s">
        <v>41</v>
      </c>
      <c r="C20" s="52">
        <f>32.202144*1000000</f>
        <v>32202144</v>
      </c>
      <c r="D20" s="51">
        <v>11.014</v>
      </c>
      <c r="E20" s="4">
        <v>842.580053013</v>
      </c>
      <c r="F20">
        <v>832.002453971</v>
      </c>
      <c r="G20" s="4">
        <v>3003.346953255</v>
      </c>
      <c r="H20">
        <v>5950.464157547</v>
      </c>
      <c r="I20" s="4">
        <v>14848.739893954</v>
      </c>
      <c r="J20" s="4">
        <v>19011.7526864968</v>
      </c>
      <c r="K20" s="56">
        <v>5568.99395758286</v>
      </c>
      <c r="L20" s="56">
        <v>11411.2501577362</v>
      </c>
      <c r="M20" s="64">
        <f>1422.961865736*10</f>
        <v>14229.61865736</v>
      </c>
      <c r="N20" s="55">
        <v>16077.259621079</v>
      </c>
      <c r="O20">
        <f t="shared" si="0"/>
        <v>38218.4979158332</v>
      </c>
      <c r="P20">
        <f t="shared" si="1"/>
        <v>38704.3858420187</v>
      </c>
      <c r="Q20">
        <f t="shared" si="2"/>
        <v>10722.0858932397</v>
      </c>
      <c r="R20">
        <f t="shared" si="3"/>
        <v>5411.7028768517</v>
      </c>
      <c r="S20">
        <f t="shared" si="4"/>
        <v>2168.67857003218</v>
      </c>
      <c r="T20">
        <f t="shared" si="5"/>
        <v>1693.80196192389</v>
      </c>
      <c r="U20">
        <f t="shared" si="6"/>
        <v>5782.39880403405</v>
      </c>
      <c r="V20">
        <f t="shared" si="7"/>
        <v>2821.9646011501</v>
      </c>
      <c r="W20">
        <f t="shared" si="8"/>
        <v>2263.03633114891</v>
      </c>
      <c r="X20">
        <f t="shared" si="9"/>
        <v>2002.96224350197</v>
      </c>
      <c r="Y20" s="4" t="s">
        <v>41</v>
      </c>
    </row>
    <row r="21" spans="2:25">
      <c r="B21" s="4" t="s">
        <v>42</v>
      </c>
      <c r="C21" s="52">
        <f>63.78*1000000</f>
        <v>63780000</v>
      </c>
      <c r="D21" s="51">
        <v>20.62</v>
      </c>
      <c r="E21" s="4">
        <v>1601.057350729</v>
      </c>
      <c r="F21">
        <v>1582.192261605</v>
      </c>
      <c r="G21" s="4">
        <v>6538.278055213</v>
      </c>
      <c r="H21" s="53">
        <v>12538.461701812</v>
      </c>
      <c r="I21" s="56"/>
      <c r="J21" s="4">
        <v>36275.4069745503</v>
      </c>
      <c r="K21" s="4">
        <v>11992.7629657835</v>
      </c>
      <c r="L21" s="56">
        <v>22952.551202327</v>
      </c>
      <c r="M21" s="64">
        <f>30.585728795*1000</f>
        <v>30585.728795</v>
      </c>
      <c r="N21" s="53">
        <v>34384.547986752</v>
      </c>
      <c r="O21">
        <f t="shared" si="0"/>
        <v>39836.1744949108</v>
      </c>
      <c r="P21">
        <f t="shared" si="1"/>
        <v>40311.1565817549</v>
      </c>
      <c r="Q21">
        <f t="shared" si="2"/>
        <v>9754.8619776346</v>
      </c>
      <c r="R21">
        <f t="shared" si="3"/>
        <v>5086.74839998776</v>
      </c>
      <c r="T21">
        <f t="shared" si="5"/>
        <v>1758.21597383445</v>
      </c>
      <c r="U21">
        <f t="shared" si="6"/>
        <v>5318.20733737258</v>
      </c>
      <c r="V21">
        <f t="shared" si="7"/>
        <v>2778.77606884649</v>
      </c>
      <c r="W21">
        <f t="shared" si="8"/>
        <v>2085.28625972864</v>
      </c>
      <c r="X21">
        <f t="shared" si="9"/>
        <v>1854.90296468558</v>
      </c>
      <c r="Y21" s="4" t="s">
        <v>42</v>
      </c>
    </row>
    <row r="22" spans="2:25">
      <c r="B22" s="4" t="s">
        <v>43</v>
      </c>
      <c r="C22" s="52">
        <f>128.392704*1000000</f>
        <v>128392704</v>
      </c>
      <c r="D22" s="51">
        <v>40.72</v>
      </c>
      <c r="E22" s="4">
        <v>3531.486592474</v>
      </c>
      <c r="F22">
        <v>3499.666229277</v>
      </c>
      <c r="H22">
        <f>300.731087946*100</f>
        <v>30073.1087946</v>
      </c>
      <c r="J22" s="4">
        <v>86123.4374948382</v>
      </c>
      <c r="K22" s="4">
        <v>24418.2976718992</v>
      </c>
      <c r="L22" s="56">
        <v>47112.2719478607</v>
      </c>
      <c r="M22" s="64">
        <f>76.9436751199999*1000</f>
        <v>76943.6751199999</v>
      </c>
      <c r="N22" s="53">
        <v>94524.8195948952</v>
      </c>
      <c r="O22">
        <f t="shared" si="0"/>
        <v>36356.5599466297</v>
      </c>
      <c r="P22">
        <f t="shared" si="1"/>
        <v>36687.1283112404</v>
      </c>
      <c r="R22">
        <f t="shared" si="3"/>
        <v>4269.35255935544</v>
      </c>
      <c r="T22">
        <f t="shared" si="5"/>
        <v>1490.79864592835</v>
      </c>
      <c r="U22">
        <f t="shared" si="6"/>
        <v>5258.05302749485</v>
      </c>
      <c r="V22">
        <f t="shared" si="7"/>
        <v>2725.24967893912</v>
      </c>
      <c r="W22">
        <f t="shared" si="8"/>
        <v>1668.65832441408</v>
      </c>
      <c r="X22">
        <f t="shared" si="9"/>
        <v>1358.29620781349</v>
      </c>
      <c r="Y22" s="4" t="s">
        <v>43</v>
      </c>
    </row>
    <row r="65" spans="5:6">
      <c r="E65" s="66"/>
      <c r="F65" s="6" t="s">
        <v>44</v>
      </c>
    </row>
    <row r="66" spans="5:6">
      <c r="E66" s="67"/>
      <c r="F66" s="6" t="s">
        <v>45</v>
      </c>
    </row>
    <row r="67" ht="18" spans="5:10">
      <c r="E67" s="68" t="s">
        <v>46</v>
      </c>
      <c r="F67" s="68"/>
      <c r="G67" s="68"/>
      <c r="H67" s="68"/>
      <c r="I67" s="68"/>
      <c r="J67" s="68"/>
    </row>
    <row r="68" ht="15.6" spans="5:10">
      <c r="E68" s="2" t="s">
        <v>47</v>
      </c>
      <c r="F68" s="2" t="s">
        <v>48</v>
      </c>
      <c r="G68" s="2" t="s">
        <v>49</v>
      </c>
      <c r="H68" s="2" t="s">
        <v>50</v>
      </c>
      <c r="I68" s="2" t="s">
        <v>51</v>
      </c>
      <c r="J68" s="2" t="s">
        <v>52</v>
      </c>
    </row>
    <row r="69" ht="18" spans="4:10">
      <c r="D69" s="65" t="s">
        <v>53</v>
      </c>
      <c r="E69" s="69">
        <f>50/21</f>
        <v>2.38095238095238</v>
      </c>
      <c r="F69" s="69">
        <f>50/(0.2*112)</f>
        <v>2.23214285714286</v>
      </c>
      <c r="G69" s="69">
        <f>50/(0.08*56)</f>
        <v>11.1607142857143</v>
      </c>
      <c r="H69" s="69">
        <f>21/(0.2*112)</f>
        <v>0.9375</v>
      </c>
      <c r="I69" s="69">
        <f>21/(0.08*56)</f>
        <v>4.6875</v>
      </c>
      <c r="J69" s="69">
        <f>(0.2*112)/(0.08*56)</f>
        <v>5</v>
      </c>
    </row>
    <row r="70" spans="4:10">
      <c r="D70" s="4" t="s">
        <v>35</v>
      </c>
      <c r="E70" s="70">
        <f t="shared" ref="E70:E78" si="10">O14/Q14</f>
        <v>2.42034596967743</v>
      </c>
      <c r="F70" s="71">
        <f t="shared" ref="F70:F78" si="11">O14/U14</f>
        <v>1.21711416480778</v>
      </c>
      <c r="G70" s="71">
        <f t="shared" ref="G70:G78" si="12">O14/V14</f>
        <v>3.50068602641738</v>
      </c>
      <c r="H70" s="71">
        <f t="shared" ref="H70:H78" si="13">Q14/U14</f>
        <v>0.502867846190597</v>
      </c>
      <c r="I70" s="71">
        <f t="shared" ref="I70:I78" si="14">Q14/V14</f>
        <v>1.44635769855825</v>
      </c>
      <c r="J70" s="71">
        <f t="shared" ref="J70:J78" si="15">U14/V14</f>
        <v>2.87621829376232</v>
      </c>
    </row>
    <row r="71" spans="4:10">
      <c r="D71" s="4" t="s">
        <v>36</v>
      </c>
      <c r="E71" s="70">
        <f t="shared" si="10"/>
        <v>2.8117603961659</v>
      </c>
      <c r="F71" s="71">
        <f t="shared" si="11"/>
        <v>2.10611204525892</v>
      </c>
      <c r="G71" s="71">
        <f t="shared" si="12"/>
        <v>6.00487720658864</v>
      </c>
      <c r="H71" s="71">
        <f t="shared" si="13"/>
        <v>0.749036812713774</v>
      </c>
      <c r="I71" s="71">
        <f t="shared" si="14"/>
        <v>2.13562905814338</v>
      </c>
      <c r="J71" s="71">
        <f t="shared" si="15"/>
        <v>2.85116702129227</v>
      </c>
    </row>
    <row r="72" spans="4:10">
      <c r="D72" s="4" t="s">
        <v>37</v>
      </c>
      <c r="E72" s="70">
        <f t="shared" si="10"/>
        <v>3.12148767696539</v>
      </c>
      <c r="F72" s="70">
        <f t="shared" si="11"/>
        <v>2.73333250438463</v>
      </c>
      <c r="G72" s="71">
        <f t="shared" si="12"/>
        <v>8.63358522184624</v>
      </c>
      <c r="H72" s="71">
        <f t="shared" si="13"/>
        <v>0.8756505830713</v>
      </c>
      <c r="I72" s="71">
        <f t="shared" si="14"/>
        <v>2.7658559364359</v>
      </c>
      <c r="J72" s="71">
        <f t="shared" si="15"/>
        <v>3.15862969762984</v>
      </c>
    </row>
    <row r="73" spans="4:10">
      <c r="D73" s="4" t="s">
        <v>38</v>
      </c>
      <c r="E73" s="70">
        <f t="shared" si="10"/>
        <v>3.41699924364254</v>
      </c>
      <c r="F73" s="70">
        <f t="shared" si="11"/>
        <v>4.15673791234923</v>
      </c>
      <c r="G73" s="70">
        <f t="shared" si="12"/>
        <v>11.8436813308033</v>
      </c>
      <c r="H73" s="70">
        <f t="shared" si="13"/>
        <v>1.21648780580885</v>
      </c>
      <c r="I73" s="71">
        <f t="shared" si="14"/>
        <v>3.46610592695885</v>
      </c>
      <c r="J73" s="71">
        <f t="shared" si="15"/>
        <v>2.84927305510818</v>
      </c>
    </row>
    <row r="74" spans="4:10">
      <c r="D74" s="4" t="s">
        <v>39</v>
      </c>
      <c r="E74" s="70">
        <f t="shared" si="10"/>
        <v>3.47262733617105</v>
      </c>
      <c r="F74" s="70">
        <f t="shared" si="11"/>
        <v>5.35844768755555</v>
      </c>
      <c r="G74" s="70">
        <f t="shared" si="12"/>
        <v>12.9914648254749</v>
      </c>
      <c r="H74" s="70">
        <f t="shared" si="13"/>
        <v>1.54305290168677</v>
      </c>
      <c r="I74" s="71">
        <f t="shared" si="14"/>
        <v>3.7411053844319</v>
      </c>
      <c r="J74" s="71">
        <f t="shared" si="15"/>
        <v>2.42448290680271</v>
      </c>
    </row>
    <row r="75" spans="4:10">
      <c r="D75" s="4" t="s">
        <v>40</v>
      </c>
      <c r="E75" s="70">
        <f t="shared" si="10"/>
        <v>3.61728942188248</v>
      </c>
      <c r="F75" s="70">
        <f t="shared" si="11"/>
        <v>6.26110296230362</v>
      </c>
      <c r="G75" s="70">
        <f t="shared" si="12"/>
        <v>13.2813302715474</v>
      </c>
      <c r="H75" s="70">
        <f t="shared" si="13"/>
        <v>1.7308825012529</v>
      </c>
      <c r="I75" s="71">
        <f t="shared" si="14"/>
        <v>3.67162499942723</v>
      </c>
      <c r="J75" s="71">
        <f t="shared" si="15"/>
        <v>2.12124450779849</v>
      </c>
    </row>
    <row r="76" spans="4:10">
      <c r="D76" s="4" t="s">
        <v>41</v>
      </c>
      <c r="E76" s="70">
        <f t="shared" si="10"/>
        <v>3.56446481555701</v>
      </c>
      <c r="F76" s="70">
        <f t="shared" si="11"/>
        <v>6.60945382894904</v>
      </c>
      <c r="G76" s="70">
        <f t="shared" si="12"/>
        <v>13.5432237173554</v>
      </c>
      <c r="H76" s="70">
        <f t="shared" si="13"/>
        <v>1.85426260910257</v>
      </c>
      <c r="I76" s="71">
        <f t="shared" si="14"/>
        <v>3.79951112387092</v>
      </c>
      <c r="J76" s="71">
        <f t="shared" si="15"/>
        <v>2.04906851123413</v>
      </c>
    </row>
    <row r="77" spans="4:10">
      <c r="D77" s="4" t="s">
        <v>42</v>
      </c>
      <c r="E77" s="70">
        <f t="shared" si="10"/>
        <v>4.08372507845266</v>
      </c>
      <c r="F77" s="70">
        <f t="shared" si="11"/>
        <v>7.49052678239346</v>
      </c>
      <c r="G77" s="70">
        <f t="shared" si="12"/>
        <v>14.3358707243536</v>
      </c>
      <c r="H77" s="70">
        <f t="shared" si="13"/>
        <v>1.83423874979156</v>
      </c>
      <c r="I77" s="71">
        <f t="shared" si="14"/>
        <v>3.51048869572422</v>
      </c>
      <c r="J77" s="71">
        <f t="shared" si="15"/>
        <v>1.91386682683655</v>
      </c>
    </row>
    <row r="78" spans="4:10">
      <c r="D78" s="4" t="s">
        <v>43</v>
      </c>
      <c r="E78" s="70" t="e">
        <f t="shared" si="10"/>
        <v>#DIV/0!</v>
      </c>
      <c r="F78" s="70">
        <f t="shared" si="11"/>
        <v>6.91445288902905</v>
      </c>
      <c r="G78" s="70">
        <f t="shared" si="12"/>
        <v>13.3406345215248</v>
      </c>
      <c r="H78" s="72">
        <f t="shared" si="13"/>
        <v>0</v>
      </c>
      <c r="I78" s="72">
        <f t="shared" si="14"/>
        <v>0</v>
      </c>
      <c r="J78" s="71">
        <f t="shared" si="15"/>
        <v>1.92938396365271</v>
      </c>
    </row>
    <row r="81" ht="15.6" spans="5:10">
      <c r="E81" s="2" t="s">
        <v>54</v>
      </c>
      <c r="F81" s="2" t="s">
        <v>55</v>
      </c>
      <c r="G81" s="2" t="s">
        <v>56</v>
      </c>
      <c r="H81" s="2" t="s">
        <v>57</v>
      </c>
      <c r="I81" s="2" t="s">
        <v>58</v>
      </c>
      <c r="J81" s="2" t="s">
        <v>59</v>
      </c>
    </row>
    <row r="82" ht="18" spans="4:10">
      <c r="D82" s="65" t="s">
        <v>53</v>
      </c>
      <c r="E82" s="69">
        <f>50/(21*2)</f>
        <v>1.19047619047619</v>
      </c>
      <c r="F82" s="69">
        <f>50/(0.2*112*2)</f>
        <v>1.11607142857143</v>
      </c>
      <c r="G82" s="69">
        <f>50/(0.08*56*2)</f>
        <v>5.58035714285714</v>
      </c>
      <c r="H82" s="69">
        <f>21/(0.2*112*2)</f>
        <v>0.46875</v>
      </c>
      <c r="I82" s="69">
        <f>21/(0.08*56*2)</f>
        <v>2.34375</v>
      </c>
      <c r="J82" s="69">
        <f>(0.2*112)/(0.08*56*2)</f>
        <v>2.5</v>
      </c>
    </row>
    <row r="83" spans="4:10">
      <c r="D83" s="4" t="s">
        <v>35</v>
      </c>
      <c r="E83" s="70">
        <f>O14/'Taiwania 2'!I11</f>
        <v>2.06769099293994</v>
      </c>
      <c r="F83" s="70" t="e">
        <f>O14/F1_multi!I11</f>
        <v>#VALUE!</v>
      </c>
      <c r="G83" s="71">
        <f>O14/TW3_multi!I11</f>
        <v>1.70165947078814</v>
      </c>
      <c r="H83" s="70" t="e">
        <f>Q14/F1_multi!I11</f>
        <v>#VALUE!</v>
      </c>
      <c r="I83" s="71">
        <f>Q14/TW3_multi!I11</f>
        <v>0.70306455858248</v>
      </c>
      <c r="J83" s="71">
        <f>U14/TW3_multi!I11</f>
        <v>1.39810998835667</v>
      </c>
    </row>
    <row r="84" spans="4:10">
      <c r="D84" s="4" t="s">
        <v>36</v>
      </c>
      <c r="E84" s="70">
        <f>O15/'Taiwania 2'!I12</f>
        <v>2.04804032420343</v>
      </c>
      <c r="F84" s="70">
        <f>O15/F1_multi!I12</f>
        <v>1.53287097555941</v>
      </c>
      <c r="G84" s="71">
        <f>O15/TW3_multi!I12</f>
        <v>3.11243775888039</v>
      </c>
      <c r="H84" s="70">
        <f>Q15/F1_multi!I12</f>
        <v>0.545164153264845</v>
      </c>
      <c r="I84" s="71">
        <f>Q15/TW3_multi!I12</f>
        <v>1.10693562763189</v>
      </c>
      <c r="J84" s="71">
        <f>U15/TW3_multi!I12</f>
        <v>1.47781204987969</v>
      </c>
    </row>
    <row r="85" spans="4:10">
      <c r="D85" s="4" t="s">
        <v>37</v>
      </c>
      <c r="E85" s="70">
        <f>O16/'Taiwania 2'!I13</f>
        <v>2.03980265520615</v>
      </c>
      <c r="F85" s="70">
        <f>O16/F1_multi!I13</f>
        <v>1.48956277918888</v>
      </c>
      <c r="G85" s="71">
        <f>O16/TW3_multi!I13</f>
        <v>3.68502145971927</v>
      </c>
      <c r="H85" s="70">
        <f>Q16/F1_multi!I13</f>
        <v>0.477196431105882</v>
      </c>
      <c r="I85" s="71">
        <f>Q16/TW3_multi!I13</f>
        <v>1.18053372015927</v>
      </c>
      <c r="J85" s="71">
        <f>U16/TW3_multi!I13</f>
        <v>1.34817899169164</v>
      </c>
    </row>
    <row r="86" spans="4:10">
      <c r="D86" s="4" t="s">
        <v>38</v>
      </c>
      <c r="E86" s="70">
        <f>O17/'Taiwania 2'!I14</f>
        <v>2.05122177931802</v>
      </c>
      <c r="F86" s="70">
        <f>O17/F1_multi!I14</f>
        <v>1.846968532209</v>
      </c>
      <c r="G86" s="71">
        <f>O17/TW3_multi!I14</f>
        <v>5.16430071023921</v>
      </c>
      <c r="H86" s="70">
        <f>Q17/F1_multi!I14</f>
        <v>0.540523541421718</v>
      </c>
      <c r="I86" s="71">
        <f>Q17/TW3_multi!I14</f>
        <v>1.51135553215225</v>
      </c>
      <c r="J86" s="71">
        <f>U17/TW3_multi!I14</f>
        <v>1.24239266923628</v>
      </c>
    </row>
    <row r="87" spans="4:10">
      <c r="D87" s="4" t="s">
        <v>39</v>
      </c>
      <c r="E87" s="70">
        <f>O18/'Taiwania 2'!I15</f>
        <v>2.00345142748675</v>
      </c>
      <c r="F87" s="70">
        <f>O18/F1_multi!I15</f>
        <v>2.62206670576759</v>
      </c>
      <c r="G87" s="70">
        <f>O18/TW3_multi!I15</f>
        <v>6.63484257407714</v>
      </c>
      <c r="H87" s="70">
        <f>Q18/F1_multi!I15</f>
        <v>0.755067115453484</v>
      </c>
      <c r="I87" s="71">
        <f>Q18/TW3_multi!I15</f>
        <v>1.91061174487925</v>
      </c>
      <c r="J87" s="71">
        <f>U18/TW3_multi!I15</f>
        <v>1.23820236026301</v>
      </c>
    </row>
    <row r="88" spans="4:10">
      <c r="D88" s="4" t="s">
        <v>40</v>
      </c>
      <c r="E88" s="70">
        <f>O19/'Taiwania 2'!I16</f>
        <v>2.01403693403053</v>
      </c>
      <c r="F88" s="70">
        <f>O19/F1_multi!I16</f>
        <v>2.81599929084157</v>
      </c>
      <c r="G88" s="70">
        <f>O19/TW3_multi!I16</f>
        <v>6.80342998817499</v>
      </c>
      <c r="H88" s="70">
        <f>Q19/F1_multi!I16</f>
        <v>0.77848326810855</v>
      </c>
      <c r="I88" s="71">
        <f>Q19/TW3_multi!I16</f>
        <v>1.88080885842814</v>
      </c>
      <c r="J88" s="71">
        <f>U19/TW3_multi!I16</f>
        <v>1.08661844872007</v>
      </c>
    </row>
    <row r="89" spans="4:10">
      <c r="D89" s="4" t="s">
        <v>41</v>
      </c>
      <c r="E89" s="70">
        <f>O20/'Taiwania 2'!I17</f>
        <v>1.98147810583316</v>
      </c>
      <c r="F89" s="70">
        <f>O20/F1_multi!I17</f>
        <v>2.86828873982573</v>
      </c>
      <c r="G89" s="70">
        <f>O20/TW3_multi!I17</f>
        <v>6.81876721432611</v>
      </c>
      <c r="H89" s="70">
        <f>Q20/F1_multi!I17</f>
        <v>0.804689873023055</v>
      </c>
      <c r="I89" s="71">
        <f>Q20/TW3_multi!I17</f>
        <v>1.91298485667912</v>
      </c>
      <c r="J89" s="71">
        <f>U20/TW3_multi!I17</f>
        <v>1.03166878698211</v>
      </c>
    </row>
    <row r="90" spans="4:10">
      <c r="D90" s="4" t="s">
        <v>42</v>
      </c>
      <c r="E90" s="70">
        <f>O21/'Taiwania 2'!I18</f>
        <v>2.02226610850684</v>
      </c>
      <c r="F90" s="70">
        <f>O21/F1_multi!I18</f>
        <v>3.70765163961107</v>
      </c>
      <c r="G90" s="70">
        <f>O21/TW3_multi!I18</f>
        <v>7.7507133236448</v>
      </c>
      <c r="H90" s="70">
        <f>Q21/F1_multi!I18</f>
        <v>0.907909217291364</v>
      </c>
      <c r="I90" s="71">
        <f>Q21/TW3_multi!I18</f>
        <v>1.89795179027614</v>
      </c>
      <c r="J90" s="71">
        <f>U21/TW3_multi!I18</f>
        <v>1.03473541298362</v>
      </c>
    </row>
    <row r="91" spans="4:10">
      <c r="D91" s="4" t="s">
        <v>43</v>
      </c>
      <c r="E91" s="70" t="e">
        <f>O22/'Taiwania 2'!I19</f>
        <v>#DIV/0!</v>
      </c>
      <c r="F91" s="70">
        <f>O22/F1_multi!I19</f>
        <v>3.54042709088212</v>
      </c>
      <c r="G91" s="70">
        <f>O22/TW3_multi!I19</f>
        <v>6.75310676261572</v>
      </c>
      <c r="H91" s="71">
        <f>Q22/F1_multi!I19</f>
        <v>0</v>
      </c>
      <c r="I91" s="71">
        <f>Q22/TW3_multi!I19</f>
        <v>0</v>
      </c>
      <c r="J91" s="71">
        <f>U22/TW3_multi!I19</f>
        <v>0.97666538061611</v>
      </c>
    </row>
    <row r="94" ht="15.6" spans="5:10">
      <c r="E94" s="2" t="s">
        <v>60</v>
      </c>
      <c r="F94" s="2" t="s">
        <v>61</v>
      </c>
      <c r="G94" s="2" t="s">
        <v>62</v>
      </c>
      <c r="H94" s="2" t="s">
        <v>63</v>
      </c>
      <c r="I94" s="2" t="s">
        <v>64</v>
      </c>
      <c r="J94" s="2" t="s">
        <v>65</v>
      </c>
    </row>
    <row r="95" ht="18" spans="4:10">
      <c r="D95" s="65" t="s">
        <v>53</v>
      </c>
      <c r="E95" s="69">
        <f>50/(21*4)</f>
        <v>0.595238095238095</v>
      </c>
      <c r="F95" s="69">
        <f>50/(0.2*112*4)</f>
        <v>0.558035714285714</v>
      </c>
      <c r="G95" s="69">
        <f>50/(0.08*56*4)</f>
        <v>2.79017857142857</v>
      </c>
      <c r="H95" s="69">
        <f>21/(0.2*112*4)</f>
        <v>0.234375</v>
      </c>
      <c r="I95" s="69">
        <f>21/(0.08*56*4)</f>
        <v>1.171875</v>
      </c>
      <c r="J95" s="69">
        <f>(0.2*112)/(0.08*56*4)</f>
        <v>1.25</v>
      </c>
    </row>
    <row r="96" spans="4:10">
      <c r="D96" s="4" t="s">
        <v>35</v>
      </c>
      <c r="E96" s="70">
        <f>O14/'Taiwania 2'!J11</f>
        <v>1.69792896825383</v>
      </c>
      <c r="F96" s="70" t="e">
        <f>O14/F1_multi!J11</f>
        <v>#VALUE!</v>
      </c>
      <c r="G96" s="71">
        <f>O14/TW3_multi!J11</f>
        <v>1.25736401188203</v>
      </c>
      <c r="H96" s="70" t="e">
        <f>Q14/F1_multi!J11</f>
        <v>#VALUE!</v>
      </c>
      <c r="I96" s="71">
        <f>Q14/TW3_multi!J11</f>
        <v>0.519497636963696</v>
      </c>
      <c r="J96" s="71">
        <f>U14/TW3_multi!J11</f>
        <v>1.03306990275691</v>
      </c>
    </row>
    <row r="97" spans="4:10">
      <c r="D97" s="4" t="s">
        <v>36</v>
      </c>
      <c r="E97" s="70">
        <f>O15/'Taiwania 2'!J12</f>
        <v>1.50143797459642</v>
      </c>
      <c r="F97" s="70" t="e">
        <f>O15/F1_multi!J12</f>
        <v>#VALUE!</v>
      </c>
      <c r="G97" s="71">
        <f>O15/TW3_multi!J12</f>
        <v>1.56771698002121</v>
      </c>
      <c r="H97" s="70" t="e">
        <f>Q15/F1_multi!J12</f>
        <v>#VALUE!</v>
      </c>
      <c r="I97" s="71">
        <f>Q15/TW3_multi!J12</f>
        <v>0.557557102717195</v>
      </c>
      <c r="J97" s="71">
        <f>U15/TW3_multi!J12</f>
        <v>0.744365421369821</v>
      </c>
    </row>
    <row r="98" spans="4:10">
      <c r="D98" s="4" t="s">
        <v>37</v>
      </c>
      <c r="E98" s="70">
        <f>O16/'Taiwania 2'!J13</f>
        <v>1.39301220966034</v>
      </c>
      <c r="F98" s="70" t="e">
        <f>O16/F1_multi!J13</f>
        <v>#VALUE!</v>
      </c>
      <c r="G98" s="71">
        <f>O16/TW3_multi!J13</f>
        <v>1.79012817491069</v>
      </c>
      <c r="H98" s="70" t="e">
        <f>Q16/F1_multi!J13</f>
        <v>#VALUE!</v>
      </c>
      <c r="I98" s="71">
        <f>Q16/TW3_multi!J13</f>
        <v>0.573485581288916</v>
      </c>
      <c r="J98" s="71">
        <f>U16/TW3_multi!J13</f>
        <v>0.654925140662206</v>
      </c>
    </row>
    <row r="99" spans="4:10">
      <c r="D99" s="4" t="s">
        <v>38</v>
      </c>
      <c r="E99" s="70">
        <f>O17/'Taiwania 2'!J14</f>
        <v>1.29123306240587</v>
      </c>
      <c r="F99" s="70">
        <f>O17/F1_multi!J14</f>
        <v>1.37241580614319</v>
      </c>
      <c r="G99" s="71">
        <f>O17/TW3_multi!J14</f>
        <v>2.40398515591947</v>
      </c>
      <c r="H99" s="70">
        <f>Q17/F1_multi!J14</f>
        <v>0.401643579142318</v>
      </c>
      <c r="I99" s="71">
        <f>Q17/TW3_multi!J14</f>
        <v>0.703536929483426</v>
      </c>
      <c r="J99" s="71">
        <f>U17/TW3_multi!J14</f>
        <v>0.578334551422519</v>
      </c>
    </row>
    <row r="100" spans="4:10">
      <c r="D100" s="4" t="s">
        <v>39</v>
      </c>
      <c r="E100" s="70">
        <f>O18/'Taiwania 2'!J15</f>
        <v>1.17248048763389</v>
      </c>
      <c r="F100" s="70">
        <f>O18/F1_multi!J15</f>
        <v>1.1922812496758</v>
      </c>
      <c r="G100" s="70">
        <f>O18/TW3_multi!J15</f>
        <v>3.01707875410102</v>
      </c>
      <c r="H100" s="70">
        <f>Q18/F1_multi!J15</f>
        <v>0.34333694181836</v>
      </c>
      <c r="I100" s="71">
        <f>Q18/TW3_multi!J15</f>
        <v>0.868817313817405</v>
      </c>
      <c r="J100" s="71">
        <f>U18/TW3_multi!J15</f>
        <v>0.563050892725494</v>
      </c>
    </row>
    <row r="101" spans="4:10">
      <c r="D101" s="4" t="s">
        <v>40</v>
      </c>
      <c r="E101" s="70">
        <f>O19/'Taiwania 2'!J16</f>
        <v>1.13789694067301</v>
      </c>
      <c r="F101" s="70">
        <f>O19/F1_multi!J16</f>
        <v>1.38446762208497</v>
      </c>
      <c r="G101" s="70">
        <f>O19/TW3_multi!J16</f>
        <v>3.18157052823306</v>
      </c>
      <c r="H101" s="70">
        <f>Q19/F1_multi!J16</f>
        <v>0.382736203995662</v>
      </c>
      <c r="I101" s="71">
        <f>Q19/TW3_multi!J16</f>
        <v>0.879545470977913</v>
      </c>
      <c r="J101" s="71">
        <f>U19/TW3_multi!J16</f>
        <v>0.508148571807304</v>
      </c>
    </row>
    <row r="102" spans="4:10">
      <c r="D102" s="4" t="s">
        <v>41</v>
      </c>
      <c r="E102" s="70">
        <f>O20/'Taiwania 2'!J17</f>
        <v>1.10635946757407</v>
      </c>
      <c r="F102" s="70">
        <f>O20/F1_multi!J17</f>
        <v>1.60756602486228</v>
      </c>
      <c r="G102" s="70">
        <f>O20/TW3_multi!J17</f>
        <v>3.28376085970767</v>
      </c>
      <c r="H102" s="70">
        <f>Q20/F1_multi!J17</f>
        <v>0.450997865891703</v>
      </c>
      <c r="I102" s="71">
        <f>Q20/TW3_multi!J17</f>
        <v>0.921249340258818</v>
      </c>
      <c r="J102" s="71">
        <f>U20/TW3_multi!J17</f>
        <v>0.496827868790759</v>
      </c>
    </row>
    <row r="103" spans="4:10">
      <c r="D103" s="4" t="s">
        <v>42</v>
      </c>
      <c r="E103" s="70">
        <f>O21/'Taiwania 2'!J18</f>
        <v>1.10052070759472</v>
      </c>
      <c r="F103" s="70">
        <f>O21/F1_multi!J18</f>
        <v>1.98309852313991</v>
      </c>
      <c r="G103" s="70">
        <f>O21/TW3_multi!J18</f>
        <v>3.93935615827101</v>
      </c>
      <c r="H103" s="70">
        <f>Q21/F1_multi!J18</f>
        <v>0.48561019291027</v>
      </c>
      <c r="I103" s="71">
        <f>Q21/TW3_multi!J18</f>
        <v>0.964647737688463</v>
      </c>
      <c r="J103" s="71">
        <f>U21/TW3_multi!J18</f>
        <v>0.525911764647913</v>
      </c>
    </row>
    <row r="104" spans="4:10">
      <c r="D104" s="4" t="s">
        <v>43</v>
      </c>
      <c r="E104" s="70">
        <f>O22/'Taiwania 2'!J19</f>
        <v>1.22313065074048</v>
      </c>
      <c r="F104" s="70">
        <f>O22/F1_multi!J19</f>
        <v>1.87275343807135</v>
      </c>
      <c r="G104" s="70">
        <f>O22/TW3_multi!J19</f>
        <v>3.54453894224846</v>
      </c>
      <c r="H104" s="71">
        <f>Q22/F1_multi!J19</f>
        <v>0</v>
      </c>
      <c r="I104" s="71">
        <f>Q22/TW3_multi!J19</f>
        <v>0</v>
      </c>
      <c r="J104" s="71">
        <f>U22/TW3_multi!J19</f>
        <v>0.512627535270718</v>
      </c>
    </row>
  </sheetData>
  <mergeCells count="4">
    <mergeCell ref="E12:I12"/>
    <mergeCell ref="K12:O12"/>
    <mergeCell ref="P12:Y12"/>
    <mergeCell ref="E67:J6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3"/>
  <sheetViews>
    <sheetView zoomScale="85" zoomScaleNormal="85" workbookViewId="0">
      <selection activeCell="B21" sqref="B21"/>
    </sheetView>
  </sheetViews>
  <sheetFormatPr defaultColWidth="9" defaultRowHeight="14.4"/>
  <cols>
    <col min="3" max="3" width="15" customWidth="1"/>
    <col min="4" max="6" width="12.6296296296296"/>
    <col min="7" max="8" width="11.787037037037" customWidth="1"/>
    <col min="9" max="11" width="12.6296296296296"/>
    <col min="13" max="16" width="12.6296296296296"/>
    <col min="19" max="22" width="12.6296296296296"/>
    <col min="24" max="26" width="12.6296296296296"/>
  </cols>
  <sheetData>
    <row r="1" spans="1:1">
      <c r="A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6" spans="1:3">
      <c r="A6" t="s">
        <v>5</v>
      </c>
      <c r="C6" s="6" t="s">
        <v>7</v>
      </c>
    </row>
    <row r="7" spans="1:2">
      <c r="A7" t="s">
        <v>70</v>
      </c>
      <c r="B7" t="s">
        <v>71</v>
      </c>
    </row>
    <row r="9" spans="4:26">
      <c r="D9" t="s">
        <v>72</v>
      </c>
      <c r="E9" t="s">
        <v>72</v>
      </c>
      <c r="F9" t="s">
        <v>72</v>
      </c>
      <c r="L9" s="49"/>
      <c r="M9" s="49" t="s">
        <v>73</v>
      </c>
      <c r="N9" s="49"/>
      <c r="O9" s="49"/>
      <c r="P9" s="49"/>
      <c r="Q9" s="49"/>
      <c r="R9" s="49" t="s">
        <v>74</v>
      </c>
      <c r="S9" s="49"/>
      <c r="T9" s="49"/>
      <c r="U9" s="49"/>
      <c r="W9" s="49" t="s">
        <v>75</v>
      </c>
      <c r="X9" s="49"/>
      <c r="Y9" s="49"/>
      <c r="Z9" s="49"/>
    </row>
    <row r="10" spans="3:26">
      <c r="C10" s="49" t="s">
        <v>26</v>
      </c>
      <c r="D10" s="49" t="s">
        <v>76</v>
      </c>
      <c r="E10" s="49" t="s">
        <v>77</v>
      </c>
      <c r="F10" s="49" t="s">
        <v>78</v>
      </c>
      <c r="G10" s="49" t="s">
        <v>79</v>
      </c>
      <c r="H10" s="49" t="s">
        <v>80</v>
      </c>
      <c r="I10" s="49" t="s">
        <v>81</v>
      </c>
      <c r="J10" s="49" t="s">
        <v>82</v>
      </c>
      <c r="K10" s="49" t="s">
        <v>83</v>
      </c>
      <c r="L10" s="49"/>
      <c r="M10" s="49" t="s">
        <v>80</v>
      </c>
      <c r="N10" s="49" t="s">
        <v>81</v>
      </c>
      <c r="O10" s="49" t="s">
        <v>82</v>
      </c>
      <c r="P10" s="49" t="s">
        <v>83</v>
      </c>
      <c r="Q10" s="49"/>
      <c r="R10" s="49" t="s">
        <v>80</v>
      </c>
      <c r="S10" s="49" t="s">
        <v>81</v>
      </c>
      <c r="T10" s="49" t="s">
        <v>82</v>
      </c>
      <c r="U10" s="49" t="s">
        <v>83</v>
      </c>
      <c r="W10" s="49" t="s">
        <v>80</v>
      </c>
      <c r="X10" s="49" t="s">
        <v>81</v>
      </c>
      <c r="Y10" s="49" t="s">
        <v>82</v>
      </c>
      <c r="Z10" s="49" t="s">
        <v>83</v>
      </c>
    </row>
    <row r="11" spans="2:26">
      <c r="B11" s="4" t="s">
        <v>35</v>
      </c>
      <c r="C11" s="52">
        <f>0.9936*1000000</f>
        <v>993600</v>
      </c>
      <c r="D11" s="4">
        <v>124.60778905</v>
      </c>
      <c r="E11" s="4">
        <v>106.451890059</v>
      </c>
      <c r="F11" s="4">
        <v>87.41526102</v>
      </c>
      <c r="G11" s="56">
        <v>76.6262680619999</v>
      </c>
      <c r="H11" s="4">
        <f t="shared" ref="H11:H18" si="0">C11/D11</f>
        <v>7973.81935411204</v>
      </c>
      <c r="I11" s="4">
        <f t="shared" ref="I11:I18" si="1">C11/E11</f>
        <v>9333.79388049669</v>
      </c>
      <c r="J11" s="4">
        <f t="shared" ref="J11:J19" si="2">C11/F11</f>
        <v>11366.4363453959</v>
      </c>
      <c r="K11">
        <f t="shared" ref="K11:K19" si="3">C11/G11</f>
        <v>12966.8327210723</v>
      </c>
      <c r="M11">
        <f t="shared" ref="M11:M18" si="4">D11/D11</f>
        <v>1</v>
      </c>
      <c r="N11">
        <f t="shared" ref="N11:N18" si="5">D11/E11</f>
        <v>1.17055497070965</v>
      </c>
      <c r="O11">
        <f t="shared" ref="O11:O18" si="6">D11/F11</f>
        <v>1.42546950722358</v>
      </c>
      <c r="P11">
        <f t="shared" ref="P11:P19" si="7">D11/G11</f>
        <v>1.62617588199881</v>
      </c>
      <c r="R11">
        <f t="shared" ref="R11:R18" si="8">1/M11</f>
        <v>1</v>
      </c>
      <c r="S11">
        <f t="shared" ref="S11:S18" si="9">2/N11</f>
        <v>1.7085912665746</v>
      </c>
      <c r="T11">
        <f t="shared" ref="T11:T18" si="10">4/O11</f>
        <v>2.80609299583749</v>
      </c>
      <c r="U11">
        <f t="shared" ref="U11:U19" si="11">8/P11</f>
        <v>4.91951706365662</v>
      </c>
      <c r="W11">
        <f t="shared" ref="W11:W18" si="12">M11/R11</f>
        <v>1</v>
      </c>
      <c r="X11">
        <f t="shared" ref="X11:X18" si="13">N11/S11</f>
        <v>0.685099469726539</v>
      </c>
      <c r="Y11">
        <f t="shared" ref="Y11:Y18" si="14">O11/T11</f>
        <v>0.507990829006059</v>
      </c>
      <c r="Z11">
        <f t="shared" ref="Z11:Z19" si="15">P11/U11</f>
        <v>0.330555999899326</v>
      </c>
    </row>
    <row r="12" spans="2:26">
      <c r="B12" s="4" t="s">
        <v>36</v>
      </c>
      <c r="C12" s="52">
        <f>2.111984*1000000</f>
        <v>2111984</v>
      </c>
      <c r="D12" s="4">
        <v>220.875420268</v>
      </c>
      <c r="E12" s="4">
        <v>160.882046689</v>
      </c>
      <c r="F12" s="4">
        <v>117.944169104</v>
      </c>
      <c r="G12" s="56">
        <v>95.055920181</v>
      </c>
      <c r="H12" s="4">
        <f t="shared" si="0"/>
        <v>9561.87880678355</v>
      </c>
      <c r="I12" s="4">
        <f t="shared" si="1"/>
        <v>13127.5306565602</v>
      </c>
      <c r="J12" s="4">
        <f t="shared" si="2"/>
        <v>17906.6418971311</v>
      </c>
      <c r="K12">
        <f t="shared" si="3"/>
        <v>22218.3320720948</v>
      </c>
      <c r="M12">
        <f t="shared" si="4"/>
        <v>1</v>
      </c>
      <c r="N12">
        <f t="shared" si="5"/>
        <v>1.37290284909772</v>
      </c>
      <c r="O12">
        <f t="shared" si="6"/>
        <v>1.87271165625185</v>
      </c>
      <c r="P12">
        <f t="shared" si="7"/>
        <v>2.32363665353427</v>
      </c>
      <c r="R12">
        <f t="shared" si="8"/>
        <v>1</v>
      </c>
      <c r="S12">
        <f t="shared" si="9"/>
        <v>1.4567673170133</v>
      </c>
      <c r="T12">
        <f t="shared" si="10"/>
        <v>2.13594014147689</v>
      </c>
      <c r="U12">
        <f t="shared" si="11"/>
        <v>3.4428790696824</v>
      </c>
      <c r="W12">
        <f t="shared" si="12"/>
        <v>1</v>
      </c>
      <c r="X12">
        <f t="shared" si="13"/>
        <v>0.942431116530314</v>
      </c>
      <c r="Y12">
        <f t="shared" si="14"/>
        <v>0.876762236865386</v>
      </c>
      <c r="Z12">
        <f t="shared" si="15"/>
        <v>0.674910912205995</v>
      </c>
    </row>
    <row r="13" spans="2:26">
      <c r="B13" s="4" t="s">
        <v>37</v>
      </c>
      <c r="C13" s="52">
        <f>4.077216*1000000</f>
        <v>4077216</v>
      </c>
      <c r="D13" s="4">
        <v>413.54868319</v>
      </c>
      <c r="E13" s="4">
        <v>270.24220158</v>
      </c>
      <c r="F13" s="4">
        <v>184.552503354</v>
      </c>
      <c r="G13" s="56">
        <v>132.285707277</v>
      </c>
      <c r="H13" s="4">
        <f t="shared" si="0"/>
        <v>9859.09559317052</v>
      </c>
      <c r="I13" s="4">
        <f t="shared" si="1"/>
        <v>15087.2660752544</v>
      </c>
      <c r="J13" s="4">
        <f t="shared" si="2"/>
        <v>22092.4448376583</v>
      </c>
      <c r="K13">
        <f t="shared" si="3"/>
        <v>30821.2888899819</v>
      </c>
      <c r="M13">
        <f t="shared" si="4"/>
        <v>1</v>
      </c>
      <c r="N13">
        <f t="shared" si="5"/>
        <v>1.53028905467815</v>
      </c>
      <c r="O13">
        <f t="shared" si="6"/>
        <v>2.24081860540656</v>
      </c>
      <c r="P13">
        <f t="shared" si="7"/>
        <v>3.12617811631039</v>
      </c>
      <c r="R13">
        <f t="shared" si="8"/>
        <v>1</v>
      </c>
      <c r="S13">
        <f t="shared" si="9"/>
        <v>1.30694262883599</v>
      </c>
      <c r="T13">
        <f t="shared" si="10"/>
        <v>1.78506193689617</v>
      </c>
      <c r="U13">
        <f t="shared" si="11"/>
        <v>2.55903525082628</v>
      </c>
      <c r="W13">
        <f t="shared" si="12"/>
        <v>1</v>
      </c>
      <c r="X13">
        <f t="shared" si="13"/>
        <v>1.17089229543387</v>
      </c>
      <c r="Y13">
        <f t="shared" si="14"/>
        <v>1.25531700558405</v>
      </c>
      <c r="Z13">
        <f t="shared" si="15"/>
        <v>1.22162370186225</v>
      </c>
    </row>
    <row r="14" spans="2:26">
      <c r="B14" s="4" t="s">
        <v>38</v>
      </c>
      <c r="C14" s="52">
        <f>7.983668*1000000</f>
        <v>7983668</v>
      </c>
      <c r="D14" s="4">
        <v>735.114779966</v>
      </c>
      <c r="E14" s="4">
        <v>441.2887857</v>
      </c>
      <c r="F14" s="4">
        <v>277.788913861</v>
      </c>
      <c r="G14" s="56">
        <v>183.888628699</v>
      </c>
      <c r="H14" s="4">
        <f t="shared" si="0"/>
        <v>10860.4373324792</v>
      </c>
      <c r="I14" s="4">
        <f t="shared" si="1"/>
        <v>18091.7083295824</v>
      </c>
      <c r="J14" s="4">
        <f t="shared" si="2"/>
        <v>28740.0526141762</v>
      </c>
      <c r="K14">
        <f t="shared" si="3"/>
        <v>43415.7786508276</v>
      </c>
      <c r="M14">
        <f t="shared" si="4"/>
        <v>1</v>
      </c>
      <c r="N14">
        <f t="shared" si="5"/>
        <v>1.66583607784167</v>
      </c>
      <c r="O14">
        <f t="shared" si="6"/>
        <v>2.64630711769094</v>
      </c>
      <c r="P14">
        <f t="shared" si="7"/>
        <v>3.99760868938383</v>
      </c>
      <c r="R14">
        <f t="shared" si="8"/>
        <v>1</v>
      </c>
      <c r="S14">
        <f t="shared" si="9"/>
        <v>1.2005983221298</v>
      </c>
      <c r="T14">
        <f t="shared" si="10"/>
        <v>1.51154035495708</v>
      </c>
      <c r="U14">
        <f t="shared" si="11"/>
        <v>2.00119637053147</v>
      </c>
      <c r="W14">
        <f t="shared" si="12"/>
        <v>1</v>
      </c>
      <c r="X14">
        <f t="shared" si="13"/>
        <v>1.38750491911945</v>
      </c>
      <c r="Y14">
        <f t="shared" si="14"/>
        <v>1.75073534028543</v>
      </c>
      <c r="Z14">
        <f t="shared" si="15"/>
        <v>1.99760940417964</v>
      </c>
    </row>
    <row r="15" spans="2:26">
      <c r="B15" s="4" t="s">
        <v>39</v>
      </c>
      <c r="C15" s="52">
        <f>16.09512*1000000</f>
        <v>16095120</v>
      </c>
      <c r="D15" s="4">
        <v>1490.223423063</v>
      </c>
      <c r="E15" s="4">
        <v>859.749680915</v>
      </c>
      <c r="F15" s="4">
        <v>503.151566987</v>
      </c>
      <c r="G15" s="56">
        <v>320.067636136</v>
      </c>
      <c r="H15" s="4">
        <f t="shared" si="0"/>
        <v>10800.4744462533</v>
      </c>
      <c r="I15" s="4">
        <f t="shared" si="1"/>
        <v>18720.7048252354</v>
      </c>
      <c r="J15" s="4">
        <f t="shared" si="2"/>
        <v>31988.6114960979</v>
      </c>
      <c r="K15">
        <f t="shared" si="3"/>
        <v>50286.6212726395</v>
      </c>
      <c r="M15">
        <f t="shared" si="4"/>
        <v>1</v>
      </c>
      <c r="N15">
        <f t="shared" si="5"/>
        <v>1.73332244971235</v>
      </c>
      <c r="O15">
        <f t="shared" si="6"/>
        <v>2.96177836031961</v>
      </c>
      <c r="P15">
        <f t="shared" si="7"/>
        <v>4.65596409888124</v>
      </c>
      <c r="R15">
        <f t="shared" si="8"/>
        <v>1</v>
      </c>
      <c r="S15">
        <f t="shared" si="9"/>
        <v>1.15385339890561</v>
      </c>
      <c r="T15">
        <f t="shared" si="10"/>
        <v>1.3505399504534</v>
      </c>
      <c r="U15">
        <f t="shared" si="11"/>
        <v>1.71822630718357</v>
      </c>
      <c r="W15">
        <f t="shared" si="12"/>
        <v>1</v>
      </c>
      <c r="X15">
        <f t="shared" si="13"/>
        <v>1.50220335733841</v>
      </c>
      <c r="Y15">
        <f t="shared" si="14"/>
        <v>2.19303276391438</v>
      </c>
      <c r="Z15">
        <f t="shared" si="15"/>
        <v>2.70975021125888</v>
      </c>
    </row>
    <row r="16" spans="2:26">
      <c r="B16" s="4" t="s">
        <v>40</v>
      </c>
      <c r="C16" s="52">
        <f>24.0394*1000000</f>
        <v>24039400</v>
      </c>
      <c r="D16" s="4">
        <v>2271.401917445</v>
      </c>
      <c r="E16" s="4">
        <v>1264.672748077</v>
      </c>
      <c r="F16" s="4">
        <v>714.518798873</v>
      </c>
      <c r="G16" s="56">
        <v>449.400814134</v>
      </c>
      <c r="H16" s="4">
        <f t="shared" si="0"/>
        <v>10583.5078395288</v>
      </c>
      <c r="I16" s="4">
        <f t="shared" si="1"/>
        <v>19008.3956790823</v>
      </c>
      <c r="J16" s="4">
        <f t="shared" si="2"/>
        <v>33644.1812838472</v>
      </c>
      <c r="K16">
        <f t="shared" si="3"/>
        <v>53492.1149315766</v>
      </c>
      <c r="M16">
        <f t="shared" si="4"/>
        <v>1</v>
      </c>
      <c r="N16">
        <f t="shared" si="5"/>
        <v>1.79603926857662</v>
      </c>
      <c r="O16">
        <f t="shared" si="6"/>
        <v>3.17892534252094</v>
      </c>
      <c r="P16">
        <f t="shared" si="7"/>
        <v>5.05428972535801</v>
      </c>
      <c r="R16">
        <f t="shared" si="8"/>
        <v>1</v>
      </c>
      <c r="S16">
        <f t="shared" si="9"/>
        <v>1.11356139867979</v>
      </c>
      <c r="T16">
        <f t="shared" si="10"/>
        <v>1.25828686395886</v>
      </c>
      <c r="U16">
        <f t="shared" si="11"/>
        <v>1.58281389368381</v>
      </c>
      <c r="W16">
        <f t="shared" si="12"/>
        <v>1</v>
      </c>
      <c r="X16">
        <f t="shared" si="13"/>
        <v>1.61287852713462</v>
      </c>
      <c r="Y16">
        <f t="shared" si="14"/>
        <v>2.52639158333046</v>
      </c>
      <c r="Z16">
        <f t="shared" si="15"/>
        <v>3.19323057848244</v>
      </c>
    </row>
    <row r="17" spans="2:26">
      <c r="B17" s="4" t="s">
        <v>41</v>
      </c>
      <c r="C17" s="52">
        <f>32.202144*1000000</f>
        <v>32202144</v>
      </c>
      <c r="D17" s="4">
        <v>3003.346953255</v>
      </c>
      <c r="E17" s="4">
        <v>1669.553927457</v>
      </c>
      <c r="F17" s="56">
        <v>932.19641884</v>
      </c>
      <c r="G17" s="56">
        <v>567.311451011</v>
      </c>
      <c r="H17" s="4">
        <f t="shared" si="0"/>
        <v>10722.0858932397</v>
      </c>
      <c r="I17" s="4">
        <f t="shared" si="1"/>
        <v>19287.8729284588</v>
      </c>
      <c r="J17" s="4">
        <f t="shared" si="2"/>
        <v>34544.3764309581</v>
      </c>
      <c r="K17">
        <f t="shared" si="3"/>
        <v>56762.7252060802</v>
      </c>
      <c r="M17">
        <f t="shared" si="4"/>
        <v>1</v>
      </c>
      <c r="N17">
        <f t="shared" si="5"/>
        <v>1.79889185001025</v>
      </c>
      <c r="O17">
        <f t="shared" si="6"/>
        <v>3.22179627872019</v>
      </c>
      <c r="P17">
        <f t="shared" si="7"/>
        <v>5.29400023197622</v>
      </c>
      <c r="R17">
        <f t="shared" si="8"/>
        <v>1</v>
      </c>
      <c r="S17">
        <f t="shared" si="9"/>
        <v>1.11179557569767</v>
      </c>
      <c r="T17">
        <f t="shared" si="10"/>
        <v>1.24154342917949</v>
      </c>
      <c r="U17">
        <f t="shared" si="11"/>
        <v>1.51114462588787</v>
      </c>
      <c r="W17">
        <f t="shared" si="12"/>
        <v>1</v>
      </c>
      <c r="X17">
        <f t="shared" si="13"/>
        <v>1.61800594401665</v>
      </c>
      <c r="Y17">
        <f t="shared" si="14"/>
        <v>2.59499281539382</v>
      </c>
      <c r="Z17">
        <f t="shared" si="15"/>
        <v>3.50330480702053</v>
      </c>
    </row>
    <row r="18" spans="2:26">
      <c r="B18" s="4" t="s">
        <v>42</v>
      </c>
      <c r="C18" s="52">
        <f>63.78*1000000</f>
        <v>63780000</v>
      </c>
      <c r="D18" s="4">
        <v>6538.278055213</v>
      </c>
      <c r="E18" s="4">
        <v>3237.764018155</v>
      </c>
      <c r="F18" s="4">
        <v>1761.996768524</v>
      </c>
      <c r="G18" s="56">
        <v>1054.994874883</v>
      </c>
      <c r="H18" s="4">
        <f t="shared" si="0"/>
        <v>9754.8619776346</v>
      </c>
      <c r="I18" s="4">
        <f t="shared" si="1"/>
        <v>19698.7796647219</v>
      </c>
      <c r="J18" s="4">
        <f t="shared" si="2"/>
        <v>36197.569223369</v>
      </c>
      <c r="K18">
        <f t="shared" si="3"/>
        <v>60455.269990836</v>
      </c>
      <c r="M18">
        <f t="shared" si="4"/>
        <v>1</v>
      </c>
      <c r="N18">
        <f t="shared" si="5"/>
        <v>2.01938066472762</v>
      </c>
      <c r="O18">
        <f t="shared" si="6"/>
        <v>3.71072079813746</v>
      </c>
      <c r="P18">
        <f t="shared" si="7"/>
        <v>6.19745006433145</v>
      </c>
      <c r="R18">
        <f t="shared" si="8"/>
        <v>1</v>
      </c>
      <c r="S18">
        <f t="shared" si="9"/>
        <v>0.990402668963739</v>
      </c>
      <c r="T18">
        <f t="shared" si="10"/>
        <v>1.0779576846654</v>
      </c>
      <c r="U18">
        <f t="shared" si="11"/>
        <v>1.29085348279656</v>
      </c>
      <c r="W18">
        <f t="shared" si="12"/>
        <v>1</v>
      </c>
      <c r="X18">
        <f t="shared" si="13"/>
        <v>2.03894913453787</v>
      </c>
      <c r="Y18">
        <f t="shared" si="14"/>
        <v>3.44236221043247</v>
      </c>
      <c r="Z18">
        <f t="shared" si="15"/>
        <v>4.80104841248524</v>
      </c>
    </row>
    <row r="19" spans="2:11">
      <c r="B19" s="4" t="s">
        <v>43</v>
      </c>
      <c r="C19" s="52">
        <f>128.392704*1000000</f>
        <v>128392704</v>
      </c>
      <c r="F19">
        <v>4319.469493934</v>
      </c>
      <c r="G19" s="53">
        <v>2128.010154864</v>
      </c>
      <c r="J19" s="4">
        <f t="shared" si="2"/>
        <v>29724.1835323312</v>
      </c>
      <c r="K19">
        <f t="shared" si="3"/>
        <v>60334.6293750208</v>
      </c>
    </row>
    <row r="20" spans="2:30">
      <c r="B20"/>
      <c r="J20"/>
      <c r="T20"/>
      <c r="AD20"/>
    </row>
    <row r="70" spans="3:20"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</row>
    <row r="71" spans="3:20"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</row>
    <row r="72" spans="3:20"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</row>
    <row r="73" spans="3:20"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</row>
  </sheetData>
  <mergeCells count="3">
    <mergeCell ref="M9:P9"/>
    <mergeCell ref="R9:U9"/>
    <mergeCell ref="W9:Z9"/>
  </mergeCell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9"/>
  <sheetViews>
    <sheetView zoomScale="85" zoomScaleNormal="85" topLeftCell="A7" workbookViewId="0">
      <selection activeCell="C30" sqref="C30"/>
    </sheetView>
  </sheetViews>
  <sheetFormatPr defaultColWidth="9" defaultRowHeight="14.4"/>
  <cols>
    <col min="3" max="3" width="15" customWidth="1"/>
    <col min="4" max="7" width="12.6296296296296"/>
    <col min="8" max="8" width="11" customWidth="1"/>
    <col min="11" max="11" width="12.6296296296296"/>
    <col min="14" max="16" width="12.6296296296296"/>
    <col min="19" max="21" width="12.6296296296296"/>
    <col min="24" max="26" width="12.6296296296296"/>
  </cols>
  <sheetData>
    <row r="1" spans="1:1">
      <c r="A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6" spans="1:3">
      <c r="A6" t="s">
        <v>84</v>
      </c>
      <c r="C6" s="6" t="s">
        <v>4</v>
      </c>
    </row>
    <row r="7" spans="1:2">
      <c r="A7" t="s">
        <v>70</v>
      </c>
      <c r="B7" t="s">
        <v>85</v>
      </c>
    </row>
    <row r="9" spans="5:26">
      <c r="E9" t="s">
        <v>72</v>
      </c>
      <c r="F9" t="s">
        <v>86</v>
      </c>
      <c r="G9" t="s">
        <v>86</v>
      </c>
      <c r="M9" s="49" t="s">
        <v>73</v>
      </c>
      <c r="N9" s="49"/>
      <c r="O9" s="49"/>
      <c r="P9" s="49"/>
      <c r="R9" s="49" t="s">
        <v>74</v>
      </c>
      <c r="S9" s="49"/>
      <c r="T9" s="49"/>
      <c r="U9" s="49"/>
      <c r="W9" s="49" t="s">
        <v>75</v>
      </c>
      <c r="X9" s="49"/>
      <c r="Y9" s="49"/>
      <c r="Z9" s="49"/>
    </row>
    <row r="10" spans="3:26">
      <c r="C10" s="49" t="s">
        <v>26</v>
      </c>
      <c r="D10" s="49" t="s">
        <v>76</v>
      </c>
      <c r="E10" s="49" t="s">
        <v>77</v>
      </c>
      <c r="F10" s="49" t="s">
        <v>78</v>
      </c>
      <c r="G10" s="49" t="s">
        <v>79</v>
      </c>
      <c r="H10" s="49" t="s">
        <v>80</v>
      </c>
      <c r="I10" s="49" t="s">
        <v>81</v>
      </c>
      <c r="J10" s="49" t="s">
        <v>82</v>
      </c>
      <c r="K10" s="49" t="s">
        <v>83</v>
      </c>
      <c r="M10" s="49" t="s">
        <v>80</v>
      </c>
      <c r="N10" s="49" t="s">
        <v>81</v>
      </c>
      <c r="O10" s="49" t="s">
        <v>82</v>
      </c>
      <c r="P10" s="49" t="s">
        <v>83</v>
      </c>
      <c r="R10" s="49" t="s">
        <v>80</v>
      </c>
      <c r="S10" s="49" t="s">
        <v>81</v>
      </c>
      <c r="T10" s="49" t="s">
        <v>82</v>
      </c>
      <c r="U10" s="49" t="s">
        <v>83</v>
      </c>
      <c r="W10" s="49" t="s">
        <v>80</v>
      </c>
      <c r="X10" s="49" t="s">
        <v>81</v>
      </c>
      <c r="Y10" s="49" t="s">
        <v>82</v>
      </c>
      <c r="Z10" s="49" t="s">
        <v>83</v>
      </c>
    </row>
    <row r="11" spans="2:26">
      <c r="B11" s="4" t="s">
        <v>35</v>
      </c>
      <c r="C11" s="52">
        <f>0.9936*1000000</f>
        <v>993600</v>
      </c>
      <c r="D11" s="4">
        <v>51.483461708</v>
      </c>
      <c r="E11">
        <v>66.1864664569999</v>
      </c>
      <c r="F11">
        <v>56.645579646</v>
      </c>
      <c r="G11" s="56">
        <v>55.742443271</v>
      </c>
      <c r="H11" s="4">
        <f t="shared" ref="H11:H19" si="0">C11/D11</f>
        <v>19299.4015366609</v>
      </c>
      <c r="I11" s="4">
        <f t="shared" ref="I11:I19" si="1">C11/E11</f>
        <v>15012.132437158</v>
      </c>
      <c r="J11" s="4">
        <f t="shared" ref="J11:J19" si="2">C11/F11</f>
        <v>17540.6449401593</v>
      </c>
      <c r="K11" s="4">
        <f t="shared" ref="K11:K19" si="3">C11/G11</f>
        <v>17824.8376227333</v>
      </c>
      <c r="M11">
        <f t="shared" ref="M11:M19" si="4">D11/D11</f>
        <v>1</v>
      </c>
      <c r="N11">
        <f t="shared" ref="N11:N19" si="5">D11/E11</f>
        <v>0.777854816308223</v>
      </c>
      <c r="O11">
        <f t="shared" ref="O11:O19" si="6">D11/F11</f>
        <v>0.908869889402491</v>
      </c>
      <c r="P11">
        <f t="shared" ref="P11:P19" si="7">D11/G11</f>
        <v>0.923595355476359</v>
      </c>
      <c r="R11">
        <f t="shared" ref="R11:R19" si="8">1/M11</f>
        <v>1</v>
      </c>
      <c r="S11">
        <f t="shared" ref="S11:S19" si="9">2/N11</f>
        <v>2.57117389783893</v>
      </c>
      <c r="T11">
        <f t="shared" ref="T11:T19" si="10">4/O11</f>
        <v>4.40106999543101</v>
      </c>
      <c r="U11">
        <f t="shared" ref="U11:U19" si="11">8/P11</f>
        <v>8.66180189469865</v>
      </c>
      <c r="W11">
        <f t="shared" ref="W11:Z11" si="12">M11/R11</f>
        <v>1</v>
      </c>
      <c r="X11">
        <f t="shared" si="12"/>
        <v>0.302529057626949</v>
      </c>
      <c r="Y11">
        <f t="shared" si="12"/>
        <v>0.206511118965624</v>
      </c>
      <c r="Z11">
        <f t="shared" si="12"/>
        <v>0.106628547582188</v>
      </c>
    </row>
    <row r="12" spans="2:26">
      <c r="B12" s="4" t="s">
        <v>36</v>
      </c>
      <c r="C12" s="52">
        <f>2.111984*1000000</f>
        <v>2111984</v>
      </c>
      <c r="D12" s="4">
        <v>78.554140164</v>
      </c>
      <c r="E12">
        <v>74.491344778</v>
      </c>
      <c r="F12">
        <v>64.215398932</v>
      </c>
      <c r="G12" s="56">
        <v>60.448016231</v>
      </c>
      <c r="H12" s="4">
        <f t="shared" si="0"/>
        <v>26885.712141852</v>
      </c>
      <c r="I12" s="4">
        <f t="shared" si="1"/>
        <v>28352.0723957147</v>
      </c>
      <c r="J12" s="4">
        <f t="shared" si="2"/>
        <v>32889.058311955</v>
      </c>
      <c r="K12" s="4">
        <f t="shared" si="3"/>
        <v>34938.8471563587</v>
      </c>
      <c r="M12">
        <f t="shared" si="4"/>
        <v>1</v>
      </c>
      <c r="N12">
        <f t="shared" si="5"/>
        <v>1.054540502633</v>
      </c>
      <c r="O12">
        <f t="shared" si="6"/>
        <v>1.22329132062519</v>
      </c>
      <c r="P12">
        <f t="shared" si="7"/>
        <v>1.29953214450923</v>
      </c>
      <c r="R12">
        <f t="shared" si="8"/>
        <v>1</v>
      </c>
      <c r="S12">
        <f t="shared" si="9"/>
        <v>1.89656062996761</v>
      </c>
      <c r="T12">
        <f t="shared" si="10"/>
        <v>3.26986706482614</v>
      </c>
      <c r="U12">
        <f t="shared" si="11"/>
        <v>6.15606165172715</v>
      </c>
      <c r="W12">
        <f t="shared" ref="W12:Z12" si="13">M12/R12</f>
        <v>1</v>
      </c>
      <c r="X12">
        <f t="shared" si="13"/>
        <v>0.556027835846727</v>
      </c>
      <c r="Y12">
        <f t="shared" si="13"/>
        <v>0.374110413779233</v>
      </c>
      <c r="Z12">
        <f t="shared" si="13"/>
        <v>0.211097974326594</v>
      </c>
    </row>
    <row r="13" spans="2:26">
      <c r="B13" s="4" t="s">
        <v>37</v>
      </c>
      <c r="C13" s="52">
        <f>4.077216*1000000</f>
        <v>4077216</v>
      </c>
      <c r="D13" s="4">
        <v>132.484483678</v>
      </c>
      <c r="E13">
        <v>106.264328127</v>
      </c>
      <c r="F13">
        <v>89.960769625</v>
      </c>
      <c r="G13" s="56">
        <v>99.119022728</v>
      </c>
      <c r="H13" s="4">
        <f t="shared" si="0"/>
        <v>30775.0454001056</v>
      </c>
      <c r="I13" s="4">
        <f t="shared" si="1"/>
        <v>38368.6235246054</v>
      </c>
      <c r="J13" s="4">
        <f t="shared" si="2"/>
        <v>45322.1556128945</v>
      </c>
      <c r="K13" s="4">
        <f t="shared" si="3"/>
        <v>41134.546001211</v>
      </c>
      <c r="M13">
        <f t="shared" si="4"/>
        <v>1</v>
      </c>
      <c r="N13">
        <f t="shared" si="5"/>
        <v>1.24674466034983</v>
      </c>
      <c r="O13">
        <f t="shared" si="6"/>
        <v>1.47269175475332</v>
      </c>
      <c r="P13">
        <f t="shared" si="7"/>
        <v>1.33662015657237</v>
      </c>
      <c r="R13">
        <f t="shared" si="8"/>
        <v>1</v>
      </c>
      <c r="S13">
        <f t="shared" si="9"/>
        <v>1.60417771465635</v>
      </c>
      <c r="T13">
        <f t="shared" si="10"/>
        <v>2.71611488764668</v>
      </c>
      <c r="U13">
        <f t="shared" si="11"/>
        <v>5.98524566658877</v>
      </c>
      <c r="W13">
        <f t="shared" ref="W13:Z13" si="14">M13/R13</f>
        <v>1</v>
      </c>
      <c r="X13">
        <f t="shared" si="14"/>
        <v>0.777186124055412</v>
      </c>
      <c r="Y13">
        <f t="shared" si="14"/>
        <v>0.5422052511296</v>
      </c>
      <c r="Z13">
        <f t="shared" si="14"/>
        <v>0.223319180369445</v>
      </c>
    </row>
    <row r="14" spans="2:26">
      <c r="B14" s="4" t="s">
        <v>38</v>
      </c>
      <c r="C14" s="52">
        <f>7.983668*1000000</f>
        <v>7983668</v>
      </c>
      <c r="D14" s="4">
        <v>215.134604239</v>
      </c>
      <c r="E14">
        <v>158.130492788</v>
      </c>
      <c r="F14">
        <v>115.875785834</v>
      </c>
      <c r="G14" s="56">
        <v>100.442389078</v>
      </c>
      <c r="H14" s="4">
        <f t="shared" si="0"/>
        <v>37110.1061507087</v>
      </c>
      <c r="I14" s="4">
        <f t="shared" si="1"/>
        <v>50487.8462037263</v>
      </c>
      <c r="J14" s="4">
        <f t="shared" si="2"/>
        <v>68898.5014646386</v>
      </c>
      <c r="K14" s="4">
        <f t="shared" si="3"/>
        <v>79485.0468341625</v>
      </c>
      <c r="M14">
        <f t="shared" si="4"/>
        <v>1</v>
      </c>
      <c r="N14">
        <f t="shared" si="5"/>
        <v>1.36048778730756</v>
      </c>
      <c r="O14">
        <f t="shared" si="6"/>
        <v>1.85659672286663</v>
      </c>
      <c r="P14">
        <f t="shared" si="7"/>
        <v>2.14187064061105</v>
      </c>
      <c r="R14">
        <f t="shared" si="8"/>
        <v>1</v>
      </c>
      <c r="S14">
        <f t="shared" si="9"/>
        <v>1.47006097273247</v>
      </c>
      <c r="T14">
        <f t="shared" si="10"/>
        <v>2.15447972666024</v>
      </c>
      <c r="U14">
        <f t="shared" si="11"/>
        <v>3.73505283107</v>
      </c>
      <c r="W14">
        <f t="shared" ref="W14:Z14" si="15">M14/R14</f>
        <v>1</v>
      </c>
      <c r="X14">
        <f t="shared" si="15"/>
        <v>0.925463509706508</v>
      </c>
      <c r="Y14">
        <f t="shared" si="15"/>
        <v>0.861737847839779</v>
      </c>
      <c r="Z14">
        <f t="shared" si="15"/>
        <v>0.573451230138948</v>
      </c>
    </row>
    <row r="15" spans="2:26">
      <c r="B15" s="4" t="s">
        <v>39</v>
      </c>
      <c r="C15" s="52">
        <f>16.09512*1000000</f>
        <v>16095120</v>
      </c>
      <c r="D15" s="4">
        <v>429.134277537</v>
      </c>
      <c r="E15">
        <v>279.432617582</v>
      </c>
      <c r="F15" s="53">
        <v>187.914575271</v>
      </c>
      <c r="G15" s="56">
        <v>145.822825053</v>
      </c>
      <c r="H15" s="4">
        <f t="shared" si="0"/>
        <v>37506.022805676</v>
      </c>
      <c r="I15" s="4">
        <f t="shared" si="1"/>
        <v>57599.288655974</v>
      </c>
      <c r="J15" s="4">
        <f t="shared" si="2"/>
        <v>85651.2592319596</v>
      </c>
      <c r="K15" s="4">
        <f t="shared" si="3"/>
        <v>110374.490373165</v>
      </c>
      <c r="M15">
        <f t="shared" si="4"/>
        <v>1</v>
      </c>
      <c r="N15">
        <f t="shared" si="5"/>
        <v>1.53573437936632</v>
      </c>
      <c r="O15">
        <f t="shared" si="6"/>
        <v>2.28366680401521</v>
      </c>
      <c r="P15">
        <f t="shared" si="7"/>
        <v>2.94284709805224</v>
      </c>
      <c r="R15">
        <f t="shared" si="8"/>
        <v>1</v>
      </c>
      <c r="S15">
        <f t="shared" si="9"/>
        <v>1.30230854167974</v>
      </c>
      <c r="T15">
        <f t="shared" si="10"/>
        <v>1.75156900865182</v>
      </c>
      <c r="U15">
        <f t="shared" si="11"/>
        <v>2.71845588080159</v>
      </c>
      <c r="W15">
        <f t="shared" ref="W15:Z15" si="16">M15/R15</f>
        <v>1</v>
      </c>
      <c r="X15">
        <f t="shared" si="16"/>
        <v>1.17924004198383</v>
      </c>
      <c r="Y15">
        <f t="shared" si="16"/>
        <v>1.30378351794026</v>
      </c>
      <c r="Z15">
        <f t="shared" si="16"/>
        <v>1.08254363031431</v>
      </c>
    </row>
    <row r="16" spans="2:26">
      <c r="B16" s="4" t="s">
        <v>40</v>
      </c>
      <c r="C16" s="52">
        <f>24.0394*1000000</f>
        <v>24039400</v>
      </c>
      <c r="D16" s="4">
        <v>627.929273147</v>
      </c>
      <c r="E16">
        <v>382.927617861</v>
      </c>
      <c r="F16" s="53">
        <v>240.277287456</v>
      </c>
      <c r="G16" s="56">
        <v>174.118834708</v>
      </c>
      <c r="H16" s="4">
        <f t="shared" si="0"/>
        <v>38283.610954338</v>
      </c>
      <c r="I16" s="4">
        <f t="shared" si="1"/>
        <v>62777.9216716777</v>
      </c>
      <c r="J16" s="4">
        <f t="shared" si="2"/>
        <v>100048.574105874</v>
      </c>
      <c r="K16" s="4">
        <f t="shared" si="3"/>
        <v>138063.179898455</v>
      </c>
      <c r="M16">
        <f t="shared" si="4"/>
        <v>1</v>
      </c>
      <c r="N16">
        <f t="shared" si="5"/>
        <v>1.63981192230155</v>
      </c>
      <c r="O16">
        <f t="shared" si="6"/>
        <v>2.61335259689074</v>
      </c>
      <c r="P16">
        <f t="shared" si="7"/>
        <v>3.60632595663787</v>
      </c>
      <c r="R16">
        <f t="shared" si="8"/>
        <v>1</v>
      </c>
      <c r="S16">
        <f t="shared" si="9"/>
        <v>1.21965206667903</v>
      </c>
      <c r="T16">
        <f t="shared" si="10"/>
        <v>1.53060096244152</v>
      </c>
      <c r="U16">
        <f t="shared" si="11"/>
        <v>2.21832416043121</v>
      </c>
      <c r="W16">
        <f t="shared" ref="W16:Z16" si="17">M16/R16</f>
        <v>1</v>
      </c>
      <c r="X16">
        <f t="shared" si="17"/>
        <v>1.34449157026115</v>
      </c>
      <c r="Y16">
        <f t="shared" si="17"/>
        <v>1.70740294891889</v>
      </c>
      <c r="Z16">
        <f t="shared" si="17"/>
        <v>1.62569836319001</v>
      </c>
    </row>
    <row r="17" spans="2:26">
      <c r="B17" s="4" t="s">
        <v>41</v>
      </c>
      <c r="C17" s="52">
        <f>32.202144*1000000</f>
        <v>32202144</v>
      </c>
      <c r="D17" s="4">
        <v>842.580053013</v>
      </c>
      <c r="E17">
        <v>488.664290593</v>
      </c>
      <c r="F17" s="53">
        <v>299.976346847</v>
      </c>
      <c r="G17" s="56">
        <v>206.201081322</v>
      </c>
      <c r="H17" s="4">
        <f t="shared" si="0"/>
        <v>38218.4979158332</v>
      </c>
      <c r="I17" s="4">
        <f t="shared" si="1"/>
        <v>65898.295864677</v>
      </c>
      <c r="J17" s="4">
        <f t="shared" si="2"/>
        <v>107348.943803307</v>
      </c>
      <c r="K17" s="4">
        <f t="shared" si="3"/>
        <v>156168.647581987</v>
      </c>
      <c r="M17">
        <f t="shared" si="4"/>
        <v>1</v>
      </c>
      <c r="N17">
        <f t="shared" si="5"/>
        <v>1.72425133007063</v>
      </c>
      <c r="O17">
        <f t="shared" si="6"/>
        <v>2.80882163500294</v>
      </c>
      <c r="P17">
        <f t="shared" si="7"/>
        <v>4.08620579296207</v>
      </c>
      <c r="R17">
        <f t="shared" si="8"/>
        <v>1</v>
      </c>
      <c r="S17">
        <f t="shared" si="9"/>
        <v>1.15992371014618</v>
      </c>
      <c r="T17">
        <f t="shared" si="10"/>
        <v>1.42408473010634</v>
      </c>
      <c r="U17">
        <f t="shared" si="11"/>
        <v>1.95780643593108</v>
      </c>
      <c r="W17">
        <f t="shared" ref="W17:Z17" si="18">M17/R17</f>
        <v>1</v>
      </c>
      <c r="X17">
        <f t="shared" si="18"/>
        <v>1.48652132462516</v>
      </c>
      <c r="Y17">
        <f t="shared" si="18"/>
        <v>1.97236974431515</v>
      </c>
      <c r="Z17">
        <f t="shared" si="18"/>
        <v>2.0871347228046</v>
      </c>
    </row>
    <row r="18" spans="2:26">
      <c r="B18" s="4" t="s">
        <v>42</v>
      </c>
      <c r="C18" s="52">
        <f>63.78*1000000</f>
        <v>63780000</v>
      </c>
      <c r="D18" s="4">
        <v>1601.057350729</v>
      </c>
      <c r="E18" s="53">
        <v>933.842167579</v>
      </c>
      <c r="F18">
        <v>535.113990429999</v>
      </c>
      <c r="G18" s="56">
        <v>357.008047927</v>
      </c>
      <c r="H18" s="4">
        <f t="shared" si="0"/>
        <v>39836.1744949108</v>
      </c>
      <c r="I18" s="4">
        <f t="shared" si="1"/>
        <v>68298.4793515489</v>
      </c>
      <c r="J18" s="56">
        <f t="shared" si="2"/>
        <v>119189.558001929</v>
      </c>
      <c r="K18" s="4">
        <f t="shared" si="3"/>
        <v>178651.434807547</v>
      </c>
      <c r="M18">
        <f t="shared" si="4"/>
        <v>1</v>
      </c>
      <c r="N18">
        <f t="shared" si="5"/>
        <v>1.7144838885138</v>
      </c>
      <c r="O18">
        <f t="shared" si="6"/>
        <v>2.99199306944385</v>
      </c>
      <c r="P18">
        <f t="shared" si="7"/>
        <v>4.48465338533875</v>
      </c>
      <c r="R18">
        <f t="shared" si="8"/>
        <v>1</v>
      </c>
      <c r="S18">
        <f t="shared" si="9"/>
        <v>1.166531813684</v>
      </c>
      <c r="T18">
        <f t="shared" si="10"/>
        <v>1.33690149247021</v>
      </c>
      <c r="U18">
        <f t="shared" si="11"/>
        <v>1.78386138517497</v>
      </c>
      <c r="W18">
        <f t="shared" ref="W18:Z18" si="19">M18/R18</f>
        <v>1</v>
      </c>
      <c r="X18">
        <f t="shared" si="19"/>
        <v>1.4697275019867</v>
      </c>
      <c r="Y18">
        <f t="shared" si="19"/>
        <v>2.23800563190001</v>
      </c>
      <c r="Z18">
        <f t="shared" si="19"/>
        <v>2.51401449832879</v>
      </c>
    </row>
    <row r="19" spans="2:26">
      <c r="B19" s="4" t="s">
        <v>43</v>
      </c>
      <c r="C19" s="52">
        <f>128.392704*1000000</f>
        <v>128392704</v>
      </c>
      <c r="D19" s="4">
        <v>3531.486592474</v>
      </c>
      <c r="E19">
        <v>1713.29188565</v>
      </c>
      <c r="F19">
        <v>1036.30731061</v>
      </c>
      <c r="G19" s="56">
        <v>628.889220885</v>
      </c>
      <c r="H19" s="4">
        <f t="shared" si="0"/>
        <v>36356.5599466297</v>
      </c>
      <c r="I19" s="4">
        <f t="shared" si="1"/>
        <v>74939.1887485007</v>
      </c>
      <c r="J19" s="4">
        <f t="shared" si="2"/>
        <v>123894.430431475</v>
      </c>
      <c r="K19" s="4">
        <f t="shared" si="3"/>
        <v>204157.902117197</v>
      </c>
      <c r="M19">
        <f t="shared" si="4"/>
        <v>1</v>
      </c>
      <c r="N19">
        <f t="shared" si="5"/>
        <v>2.06122880873518</v>
      </c>
      <c r="O19">
        <f t="shared" si="6"/>
        <v>3.40775999196152</v>
      </c>
      <c r="P19">
        <f t="shared" si="7"/>
        <v>5.61543508013119</v>
      </c>
      <c r="R19">
        <f t="shared" si="8"/>
        <v>1</v>
      </c>
      <c r="S19">
        <f t="shared" si="9"/>
        <v>0.970294996617696</v>
      </c>
      <c r="T19">
        <f t="shared" si="10"/>
        <v>1.1737915843356</v>
      </c>
      <c r="U19">
        <f t="shared" si="11"/>
        <v>1.42464473114577</v>
      </c>
      <c r="W19">
        <f t="shared" ref="W19:Z19" si="20">M19/R19</f>
        <v>1</v>
      </c>
      <c r="X19">
        <f t="shared" si="20"/>
        <v>2.12433210097993</v>
      </c>
      <c r="Y19">
        <f t="shared" si="20"/>
        <v>2.9032070407034</v>
      </c>
      <c r="Z19">
        <f t="shared" si="20"/>
        <v>3.94163889239599</v>
      </c>
    </row>
    <row r="21" spans="2:28">
      <c r="B21"/>
      <c r="J21"/>
      <c r="S21"/>
      <c r="AB21"/>
    </row>
    <row r="22" spans="5:5">
      <c r="E22" t="s">
        <v>86</v>
      </c>
    </row>
    <row r="23" spans="5:5">
      <c r="E23">
        <v>56.695351945</v>
      </c>
    </row>
    <row r="24" spans="5:5">
      <c r="E24">
        <v>75.480018508</v>
      </c>
    </row>
    <row r="25" spans="5:5">
      <c r="E25">
        <v>108.225056352</v>
      </c>
    </row>
    <row r="26" spans="5:5">
      <c r="E26">
        <v>158.190913261</v>
      </c>
    </row>
    <row r="27" spans="5:5">
      <c r="E27">
        <v>281.386671873</v>
      </c>
    </row>
    <row r="28" spans="5:5">
      <c r="E28">
        <v>387.059997902</v>
      </c>
    </row>
    <row r="29" spans="5:5">
      <c r="E29">
        <v>497.278468306</v>
      </c>
    </row>
    <row r="30" spans="3:5">
      <c r="C30" t="s">
        <v>87</v>
      </c>
      <c r="E30">
        <v>949.700112261999</v>
      </c>
    </row>
    <row r="31" spans="5:5">
      <c r="E31">
        <v>1718.907855089</v>
      </c>
    </row>
    <row r="46" spans="3:4">
      <c r="C46" s="49" t="s">
        <v>88</v>
      </c>
      <c r="D46" s="49" t="s">
        <v>89</v>
      </c>
    </row>
    <row r="47" spans="2:4">
      <c r="B47" s="4" t="s">
        <v>35</v>
      </c>
      <c r="C47">
        <v>61.509463508</v>
      </c>
      <c r="D47" s="4">
        <v>63.955260855</v>
      </c>
    </row>
    <row r="48" spans="2:4">
      <c r="B48" s="4" t="s">
        <v>36</v>
      </c>
      <c r="C48" s="4">
        <v>84.35058771</v>
      </c>
      <c r="D48" s="4">
        <v>81.350066173</v>
      </c>
    </row>
    <row r="49" spans="2:4">
      <c r="B49" s="4" t="s">
        <v>37</v>
      </c>
      <c r="C49" s="4">
        <v>118.986647953</v>
      </c>
      <c r="D49" s="4">
        <v>117.618684607</v>
      </c>
    </row>
    <row r="50" spans="2:4">
      <c r="B50" s="4" t="s">
        <v>38</v>
      </c>
      <c r="C50" s="4">
        <v>177.686934116</v>
      </c>
      <c r="D50" s="4">
        <v>175.980548341</v>
      </c>
    </row>
    <row r="51" spans="2:4">
      <c r="B51" s="4" t="s">
        <v>39</v>
      </c>
      <c r="C51" s="4">
        <v>307.600154228</v>
      </c>
      <c r="D51" s="4">
        <v>306.306711988</v>
      </c>
    </row>
    <row r="52" spans="2:4">
      <c r="B52" s="4" t="s">
        <v>40</v>
      </c>
      <c r="C52" s="4">
        <v>433.409630456</v>
      </c>
      <c r="D52" s="4">
        <v>420.40938018</v>
      </c>
    </row>
    <row r="53" spans="2:4">
      <c r="B53" s="4" t="s">
        <v>41</v>
      </c>
      <c r="C53" s="4">
        <v>549.934327198</v>
      </c>
      <c r="D53" s="4">
        <v>544.675620508</v>
      </c>
    </row>
    <row r="54" spans="2:4">
      <c r="B54" s="4" t="s">
        <v>42</v>
      </c>
      <c r="C54" s="4"/>
      <c r="D54" s="4">
        <v>1055.924874544</v>
      </c>
    </row>
    <row r="69" spans="4:18"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</row>
    <row r="70" spans="4:18"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</row>
    <row r="71" spans="4:18"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</row>
    <row r="72" spans="4:18"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</row>
    <row r="73" spans="4:18"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</row>
    <row r="74" spans="4:18"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</row>
    <row r="75" spans="4:18"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</row>
    <row r="76" spans="4:18"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</row>
    <row r="77" spans="4:18"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</row>
    <row r="78" spans="4:18"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</row>
    <row r="79" spans="4:18"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</row>
  </sheetData>
  <mergeCells count="3">
    <mergeCell ref="M9:P9"/>
    <mergeCell ref="R9:U9"/>
    <mergeCell ref="W9:Z9"/>
  </mergeCells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1"/>
  <sheetViews>
    <sheetView zoomScale="85" zoomScaleNormal="85" workbookViewId="0">
      <selection activeCell="I36" sqref="I36"/>
    </sheetView>
  </sheetViews>
  <sheetFormatPr defaultColWidth="9" defaultRowHeight="14.4"/>
  <cols>
    <col min="1" max="1" width="19.5462962962963" customWidth="1"/>
    <col min="3" max="3" width="19.4074074074074" customWidth="1"/>
    <col min="4" max="4" width="15" customWidth="1"/>
    <col min="5" max="6" width="20.75" customWidth="1"/>
    <col min="7" max="7" width="20.3796296296296" customWidth="1"/>
    <col min="8" max="9" width="16.3796296296296" customWidth="1"/>
    <col min="10" max="11" width="18.6296296296296" customWidth="1"/>
    <col min="12" max="12" width="19" customWidth="1"/>
    <col min="13" max="13" width="18" customWidth="1"/>
    <col min="14" max="16" width="20.5" customWidth="1"/>
    <col min="17" max="17" width="14.1296296296296" customWidth="1"/>
    <col min="18" max="18" width="14.4537037037037" customWidth="1"/>
  </cols>
  <sheetData>
    <row r="2" spans="1:6">
      <c r="A2" s="57" t="s">
        <v>90</v>
      </c>
      <c r="B2" t="s">
        <v>13</v>
      </c>
      <c r="F2" s="6" t="s">
        <v>15</v>
      </c>
    </row>
    <row r="3" spans="1:6">
      <c r="A3" s="57" t="s">
        <v>91</v>
      </c>
      <c r="B3" t="s">
        <v>17</v>
      </c>
      <c r="F3" s="6" t="s">
        <v>18</v>
      </c>
    </row>
    <row r="6" spans="3:18">
      <c r="C6" s="49" t="s">
        <v>92</v>
      </c>
      <c r="D6" s="49"/>
      <c r="E6" s="3"/>
      <c r="G6" s="49" t="s">
        <v>93</v>
      </c>
      <c r="H6" s="49"/>
      <c r="I6" s="3"/>
      <c r="J6" s="54"/>
      <c r="K6" s="54"/>
      <c r="L6" s="54"/>
      <c r="M6" s="54"/>
      <c r="N6" s="54"/>
      <c r="O6" s="54"/>
      <c r="P6" s="54"/>
      <c r="Q6" s="54"/>
      <c r="R6" s="54"/>
    </row>
    <row r="7" spans="3:18">
      <c r="C7" s="49" t="s">
        <v>94</v>
      </c>
      <c r="D7" s="60" t="s">
        <v>95</v>
      </c>
      <c r="E7" s="49"/>
      <c r="G7" s="49" t="s">
        <v>94</v>
      </c>
      <c r="H7" s="60" t="s">
        <v>95</v>
      </c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2:19">
      <c r="B8" s="4">
        <v>1</v>
      </c>
      <c r="C8" s="61">
        <v>2129.34808034077</v>
      </c>
      <c r="D8" s="51">
        <f t="shared" ref="D8:D20" si="0">$C$8/C8</f>
        <v>1</v>
      </c>
      <c r="E8" s="4"/>
      <c r="F8" s="4">
        <v>1</v>
      </c>
      <c r="G8" s="61">
        <v>2581.33249152754</v>
      </c>
      <c r="H8" s="51">
        <f t="shared" ref="H8:H16" si="1">$G$8/G8</f>
        <v>1</v>
      </c>
      <c r="I8" s="4"/>
      <c r="S8" s="4"/>
    </row>
    <row r="9" spans="2:19">
      <c r="B9" s="4">
        <v>2</v>
      </c>
      <c r="C9" s="61">
        <v>1005.03574729338</v>
      </c>
      <c r="D9" s="51">
        <f t="shared" si="0"/>
        <v>2.11867894856002</v>
      </c>
      <c r="E9" s="4"/>
      <c r="F9" s="4">
        <v>2</v>
      </c>
      <c r="G9" s="61">
        <v>845.451642021537</v>
      </c>
      <c r="H9" s="51">
        <f t="shared" si="1"/>
        <v>3.05319945367352</v>
      </c>
      <c r="I9" s="4"/>
      <c r="S9" s="4"/>
    </row>
    <row r="10" spans="2:19">
      <c r="B10" s="4">
        <v>4</v>
      </c>
      <c r="C10" s="61">
        <v>427.717994824052</v>
      </c>
      <c r="D10" s="51">
        <f t="shared" si="0"/>
        <v>4.97839255329135</v>
      </c>
      <c r="E10" s="4"/>
      <c r="F10" s="4">
        <v>4</v>
      </c>
      <c r="G10" s="61">
        <v>559.678966924548</v>
      </c>
      <c r="H10" s="51">
        <f t="shared" si="1"/>
        <v>4.6121663383422</v>
      </c>
      <c r="I10" s="4"/>
      <c r="S10" s="4"/>
    </row>
    <row r="11" spans="2:19">
      <c r="B11" s="4">
        <v>8</v>
      </c>
      <c r="C11" s="61">
        <v>275.929802093655</v>
      </c>
      <c r="D11" s="51">
        <f t="shared" si="0"/>
        <v>7.71699201820192</v>
      </c>
      <c r="E11" s="4"/>
      <c r="F11" s="4">
        <v>8</v>
      </c>
      <c r="G11" s="61">
        <v>329.220967527479</v>
      </c>
      <c r="H11" s="51">
        <f t="shared" si="1"/>
        <v>7.84072931597859</v>
      </c>
      <c r="I11" s="4"/>
      <c r="S11" s="4"/>
    </row>
    <row r="12" spans="2:19">
      <c r="B12" s="4">
        <v>14</v>
      </c>
      <c r="C12" s="61">
        <v>238.346816897392</v>
      </c>
      <c r="D12" s="51">
        <f t="shared" si="0"/>
        <v>8.93382218423941</v>
      </c>
      <c r="E12" s="4"/>
      <c r="F12" s="4">
        <v>14</v>
      </c>
      <c r="G12" s="61">
        <v>152.87394849211</v>
      </c>
      <c r="H12" s="51">
        <f t="shared" si="1"/>
        <v>16.8853654725924</v>
      </c>
      <c r="I12" s="4"/>
      <c r="S12" s="4"/>
    </row>
    <row r="13" spans="2:19">
      <c r="B13" s="4">
        <v>20</v>
      </c>
      <c r="C13" s="61">
        <v>160.75970088318</v>
      </c>
      <c r="D13" s="51">
        <f t="shared" si="0"/>
        <v>13.2455339779968</v>
      </c>
      <c r="E13" s="4"/>
      <c r="F13" s="4">
        <v>20</v>
      </c>
      <c r="G13" s="61">
        <v>188.061216965318</v>
      </c>
      <c r="H13" s="51">
        <f t="shared" si="1"/>
        <v>13.7260224791781</v>
      </c>
      <c r="I13" s="4"/>
      <c r="S13" s="4"/>
    </row>
    <row r="14" spans="2:19">
      <c r="B14" s="4">
        <v>28</v>
      </c>
      <c r="C14" s="61">
        <v>156.152471970767</v>
      </c>
      <c r="D14" s="51">
        <f t="shared" si="0"/>
        <v>13.6363392360475</v>
      </c>
      <c r="E14" s="4"/>
      <c r="F14" s="4">
        <v>28</v>
      </c>
      <c r="G14" s="61">
        <v>124.806181970984</v>
      </c>
      <c r="H14" s="51">
        <f t="shared" si="1"/>
        <v>20.6827294190257</v>
      </c>
      <c r="I14" s="4"/>
      <c r="S14" s="4"/>
    </row>
    <row r="15" spans="2:19">
      <c r="B15" s="4">
        <v>42</v>
      </c>
      <c r="C15" s="61">
        <v>106.117457963526</v>
      </c>
      <c r="D15" s="51">
        <f t="shared" si="0"/>
        <v>20.0659544735104</v>
      </c>
      <c r="E15" s="4"/>
      <c r="F15" s="4">
        <v>42</v>
      </c>
      <c r="G15" s="61">
        <v>116.543026629835</v>
      </c>
      <c r="H15" s="51">
        <f t="shared" si="1"/>
        <v>22.149180145513</v>
      </c>
      <c r="I15" s="4"/>
      <c r="S15" s="4"/>
    </row>
    <row r="16" spans="2:19">
      <c r="B16" s="4">
        <v>56</v>
      </c>
      <c r="C16" s="61">
        <v>88.8646947443485</v>
      </c>
      <c r="D16" s="51">
        <f t="shared" si="0"/>
        <v>23.9616878949127</v>
      </c>
      <c r="E16" s="4"/>
      <c r="F16" s="4">
        <v>56</v>
      </c>
      <c r="G16" s="61">
        <v>83.8285586610436</v>
      </c>
      <c r="H16" s="51">
        <f t="shared" si="1"/>
        <v>30.7929962384898</v>
      </c>
      <c r="I16" s="4"/>
      <c r="S16" s="4"/>
    </row>
    <row r="17" spans="2:19">
      <c r="B17" s="4">
        <v>70</v>
      </c>
      <c r="C17" s="61">
        <v>64.8460689783096</v>
      </c>
      <c r="D17" s="51">
        <f t="shared" si="0"/>
        <v>32.8369647364903</v>
      </c>
      <c r="E17" s="4"/>
      <c r="F17" s="4"/>
      <c r="G17" s="61"/>
      <c r="H17" s="51"/>
      <c r="I17" s="4"/>
      <c r="J17" s="53"/>
      <c r="S17" s="4"/>
    </row>
    <row r="18" spans="2:19">
      <c r="B18" s="4">
        <v>84</v>
      </c>
      <c r="C18" s="61">
        <v>53.9519041366875</v>
      </c>
      <c r="D18" s="51">
        <f t="shared" si="0"/>
        <v>39.4675241664512</v>
      </c>
      <c r="E18" s="4"/>
      <c r="F18" s="4"/>
      <c r="G18" s="61"/>
      <c r="H18" s="51"/>
      <c r="I18" s="4"/>
      <c r="J18" s="53"/>
      <c r="K18" s="55"/>
      <c r="S18" s="4"/>
    </row>
    <row r="19" spans="2:19">
      <c r="B19" s="4">
        <v>98</v>
      </c>
      <c r="C19" s="61">
        <v>45.644192751497</v>
      </c>
      <c r="D19" s="51">
        <f t="shared" si="0"/>
        <v>46.6510184972202</v>
      </c>
      <c r="E19" s="4"/>
      <c r="F19" s="4"/>
      <c r="G19" s="61"/>
      <c r="H19" s="51"/>
      <c r="I19" s="56"/>
      <c r="S19" s="4"/>
    </row>
    <row r="20" spans="2:8">
      <c r="B20" s="4">
        <v>112</v>
      </c>
      <c r="C20" s="61">
        <v>42.3649849109352</v>
      </c>
      <c r="D20" s="51">
        <f t="shared" si="0"/>
        <v>50.2619813229568</v>
      </c>
      <c r="E20" s="4"/>
      <c r="F20" s="4"/>
      <c r="G20" s="61"/>
      <c r="H20" s="51"/>
    </row>
    <row r="21" spans="2:6">
      <c r="B21" t="s">
        <v>14</v>
      </c>
      <c r="F21" t="s">
        <v>14</v>
      </c>
    </row>
  </sheetData>
  <mergeCells count="2">
    <mergeCell ref="C6:D6"/>
    <mergeCell ref="G6:H6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9"/>
  <sheetViews>
    <sheetView zoomScale="70" zoomScaleNormal="70" workbookViewId="0">
      <selection activeCell="H8" sqref="H8"/>
    </sheetView>
  </sheetViews>
  <sheetFormatPr defaultColWidth="9" defaultRowHeight="14.4"/>
  <cols>
    <col min="3" max="3" width="15" customWidth="1"/>
    <col min="4" max="5" width="12.6296296296296"/>
    <col min="6" max="6" width="12.8888888888889"/>
    <col min="7" max="7" width="12.6296296296296"/>
    <col min="8" max="8" width="11" customWidth="1"/>
    <col min="11" max="11" width="12.6296296296296"/>
    <col min="14" max="16" width="12.6296296296296"/>
    <col min="19" max="21" width="12.6296296296296"/>
    <col min="24" max="26" width="12.6296296296296"/>
  </cols>
  <sheetData>
    <row r="1" spans="1:1">
      <c r="A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6" spans="1:6">
      <c r="A6" s="57" t="s">
        <v>90</v>
      </c>
      <c r="B6" t="s">
        <v>13</v>
      </c>
      <c r="F6" s="6" t="s">
        <v>15</v>
      </c>
    </row>
    <row r="9" spans="13:26">
      <c r="M9" s="49" t="s">
        <v>73</v>
      </c>
      <c r="N9" s="49"/>
      <c r="O9" s="49"/>
      <c r="P9" s="49"/>
      <c r="R9" s="49" t="s">
        <v>74</v>
      </c>
      <c r="S9" s="49"/>
      <c r="T9" s="49"/>
      <c r="U9" s="49"/>
      <c r="W9" s="49" t="s">
        <v>75</v>
      </c>
      <c r="X9" s="49"/>
      <c r="Y9" s="49"/>
      <c r="Z9" s="49"/>
    </row>
    <row r="10" spans="3:26">
      <c r="C10" s="49" t="s">
        <v>26</v>
      </c>
      <c r="D10" s="49" t="s">
        <v>96</v>
      </c>
      <c r="E10" s="49" t="s">
        <v>97</v>
      </c>
      <c r="F10" s="49" t="s">
        <v>98</v>
      </c>
      <c r="G10" s="49" t="s">
        <v>99</v>
      </c>
      <c r="H10" s="49" t="s">
        <v>100</v>
      </c>
      <c r="I10" s="49" t="s">
        <v>101</v>
      </c>
      <c r="J10" s="49" t="s">
        <v>102</v>
      </c>
      <c r="K10" s="49" t="s">
        <v>103</v>
      </c>
      <c r="M10" s="49" t="s">
        <v>100</v>
      </c>
      <c r="N10" s="49" t="s">
        <v>101</v>
      </c>
      <c r="O10" s="49" t="s">
        <v>102</v>
      </c>
      <c r="P10" s="49" t="s">
        <v>103</v>
      </c>
      <c r="R10" s="49" t="s">
        <v>100</v>
      </c>
      <c r="S10" s="49" t="s">
        <v>101</v>
      </c>
      <c r="T10" s="49" t="s">
        <v>102</v>
      </c>
      <c r="U10" s="49" t="s">
        <v>103</v>
      </c>
      <c r="W10" s="49" t="s">
        <v>100</v>
      </c>
      <c r="X10" s="49" t="s">
        <v>101</v>
      </c>
      <c r="Y10" s="49" t="s">
        <v>102</v>
      </c>
      <c r="Z10" s="49" t="s">
        <v>103</v>
      </c>
    </row>
    <row r="11" spans="2:26">
      <c r="B11" s="4" t="s">
        <v>35</v>
      </c>
      <c r="C11" s="52">
        <f>0.9936*1000000</f>
        <v>993600</v>
      </c>
      <c r="D11" s="4">
        <v>62.6612504981458</v>
      </c>
      <c r="E11" s="58" t="s">
        <v>104</v>
      </c>
      <c r="F11" s="58" t="s">
        <v>104</v>
      </c>
      <c r="G11" s="58" t="s">
        <v>104</v>
      </c>
      <c r="H11" s="4">
        <f t="shared" ref="H11:H19" si="0">C11/D11</f>
        <v>15856.6896144117</v>
      </c>
      <c r="I11" s="4" t="e">
        <f t="shared" ref="I11:I19" si="1">C11/E11</f>
        <v>#VALUE!</v>
      </c>
      <c r="J11" s="4" t="e">
        <f t="shared" ref="J11:J19" si="2">C11/F11</f>
        <v>#VALUE!</v>
      </c>
      <c r="K11" s="4" t="e">
        <f t="shared" ref="K11:K19" si="3">C11/G11</f>
        <v>#VALUE!</v>
      </c>
      <c r="M11">
        <f t="shared" ref="M11:M19" si="4">D11/D11</f>
        <v>1</v>
      </c>
      <c r="N11" t="e">
        <f t="shared" ref="N11:N19" si="5">D11/E11</f>
        <v>#VALUE!</v>
      </c>
      <c r="O11" t="e">
        <f t="shared" ref="O11:O19" si="6">D11/F11</f>
        <v>#VALUE!</v>
      </c>
      <c r="P11" t="e">
        <f t="shared" ref="P11:P19" si="7">D11/G11</f>
        <v>#VALUE!</v>
      </c>
      <c r="R11">
        <f t="shared" ref="R11:R19" si="8">1/M11</f>
        <v>1</v>
      </c>
      <c r="S11" t="e">
        <f t="shared" ref="S11:S19" si="9">2/N11</f>
        <v>#VALUE!</v>
      </c>
      <c r="T11" t="e">
        <f t="shared" ref="T11:T19" si="10">4/O11</f>
        <v>#VALUE!</v>
      </c>
      <c r="U11" t="e">
        <f t="shared" ref="U11:U19" si="11">8/P11</f>
        <v>#VALUE!</v>
      </c>
      <c r="W11">
        <f t="shared" ref="W11:Z11" si="12">M11/R11</f>
        <v>1</v>
      </c>
      <c r="X11" t="e">
        <f t="shared" si="12"/>
        <v>#VALUE!</v>
      </c>
      <c r="Y11" t="e">
        <f t="shared" si="12"/>
        <v>#VALUE!</v>
      </c>
      <c r="Z11" t="e">
        <f t="shared" si="12"/>
        <v>#VALUE!</v>
      </c>
    </row>
    <row r="12" spans="2:26">
      <c r="B12" s="4" t="s">
        <v>36</v>
      </c>
      <c r="C12" s="52">
        <f>2.111984*1000000</f>
        <v>2111984</v>
      </c>
      <c r="D12" s="4">
        <v>165.443820804358</v>
      </c>
      <c r="E12" s="4">
        <v>120.413361467421</v>
      </c>
      <c r="F12" s="58" t="s">
        <v>104</v>
      </c>
      <c r="G12" s="58" t="s">
        <v>104</v>
      </c>
      <c r="H12" s="4">
        <f t="shared" si="0"/>
        <v>12765.5659167681</v>
      </c>
      <c r="I12" s="4">
        <f t="shared" si="1"/>
        <v>17539.4488972174</v>
      </c>
      <c r="J12" s="4" t="e">
        <f t="shared" si="2"/>
        <v>#VALUE!</v>
      </c>
      <c r="K12" s="4" t="e">
        <f t="shared" si="3"/>
        <v>#VALUE!</v>
      </c>
      <c r="M12">
        <f t="shared" si="4"/>
        <v>1</v>
      </c>
      <c r="N12">
        <f t="shared" si="5"/>
        <v>1.37396563627302</v>
      </c>
      <c r="O12" t="e">
        <f t="shared" si="6"/>
        <v>#VALUE!</v>
      </c>
      <c r="P12" t="e">
        <f t="shared" si="7"/>
        <v>#VALUE!</v>
      </c>
      <c r="R12">
        <f t="shared" si="8"/>
        <v>1</v>
      </c>
      <c r="S12">
        <f t="shared" si="9"/>
        <v>1.45564048124606</v>
      </c>
      <c r="T12" t="e">
        <f t="shared" si="10"/>
        <v>#VALUE!</v>
      </c>
      <c r="U12" t="e">
        <f t="shared" si="11"/>
        <v>#VALUE!</v>
      </c>
      <c r="W12">
        <f t="shared" ref="W12:Z12" si="13">M12/R12</f>
        <v>1</v>
      </c>
      <c r="X12">
        <f t="shared" si="13"/>
        <v>0.94389078482956</v>
      </c>
      <c r="Y12" t="e">
        <f t="shared" si="13"/>
        <v>#VALUE!</v>
      </c>
      <c r="Z12" t="e">
        <f t="shared" si="13"/>
        <v>#VALUE!</v>
      </c>
    </row>
    <row r="13" spans="2:26">
      <c r="B13" s="4" t="s">
        <v>37</v>
      </c>
      <c r="C13" s="52">
        <f>4.077216*1000000</f>
        <v>4077216</v>
      </c>
      <c r="D13" s="4">
        <v>362.124145563692</v>
      </c>
      <c r="E13" s="4">
        <v>197.343955706805</v>
      </c>
      <c r="F13" s="58" t="s">
        <v>104</v>
      </c>
      <c r="G13" s="58" t="s">
        <v>104</v>
      </c>
      <c r="H13" s="4">
        <f t="shared" si="0"/>
        <v>11259.1663658696</v>
      </c>
      <c r="I13" s="4">
        <f t="shared" si="1"/>
        <v>20660.4554236135</v>
      </c>
      <c r="J13" s="4" t="e">
        <f t="shared" si="2"/>
        <v>#VALUE!</v>
      </c>
      <c r="K13" s="4" t="e">
        <f t="shared" si="3"/>
        <v>#VALUE!</v>
      </c>
      <c r="M13">
        <f t="shared" si="4"/>
        <v>1</v>
      </c>
      <c r="N13">
        <f t="shared" si="5"/>
        <v>1.83498979873345</v>
      </c>
      <c r="O13" t="e">
        <f t="shared" si="6"/>
        <v>#VALUE!</v>
      </c>
      <c r="P13" t="e">
        <f t="shared" si="7"/>
        <v>#VALUE!</v>
      </c>
      <c r="R13">
        <f t="shared" si="8"/>
        <v>1</v>
      </c>
      <c r="S13">
        <f t="shared" si="9"/>
        <v>1.08992431531796</v>
      </c>
      <c r="T13" t="e">
        <f t="shared" si="10"/>
        <v>#VALUE!</v>
      </c>
      <c r="U13" t="e">
        <f t="shared" si="11"/>
        <v>#VALUE!</v>
      </c>
      <c r="W13">
        <f t="shared" ref="W13:Z13" si="14">M13/R13</f>
        <v>1</v>
      </c>
      <c r="X13">
        <f t="shared" si="14"/>
        <v>1.68359378072791</v>
      </c>
      <c r="Y13" t="e">
        <f t="shared" si="14"/>
        <v>#VALUE!</v>
      </c>
      <c r="Z13" t="e">
        <f t="shared" si="14"/>
        <v>#VALUE!</v>
      </c>
    </row>
    <row r="14" spans="2:26">
      <c r="B14" s="4" t="s">
        <v>38</v>
      </c>
      <c r="C14" s="52">
        <f>7.983668*1000000</f>
        <v>7983668</v>
      </c>
      <c r="D14" s="4">
        <v>894.258165698498</v>
      </c>
      <c r="E14" s="4">
        <v>397.346844218671</v>
      </c>
      <c r="F14" s="56">
        <v>295.254131305963</v>
      </c>
      <c r="G14" s="58" t="s">
        <v>104</v>
      </c>
      <c r="H14" s="4">
        <f t="shared" si="0"/>
        <v>8927.69930008301</v>
      </c>
      <c r="I14" s="4">
        <f t="shared" si="1"/>
        <v>20092.4409395998</v>
      </c>
      <c r="J14" s="4">
        <f t="shared" si="2"/>
        <v>27039.9874328152</v>
      </c>
      <c r="K14" s="4" t="e">
        <f t="shared" si="3"/>
        <v>#VALUE!</v>
      </c>
      <c r="M14">
        <f t="shared" si="4"/>
        <v>1</v>
      </c>
      <c r="N14">
        <f t="shared" si="5"/>
        <v>2.25057321760523</v>
      </c>
      <c r="O14">
        <f t="shared" si="6"/>
        <v>3.02877443828823</v>
      </c>
      <c r="P14" t="e">
        <f t="shared" si="7"/>
        <v>#VALUE!</v>
      </c>
      <c r="R14">
        <f t="shared" si="8"/>
        <v>1</v>
      </c>
      <c r="S14">
        <f t="shared" si="9"/>
        <v>0.888662490229108</v>
      </c>
      <c r="T14">
        <f t="shared" si="10"/>
        <v>1.32066619073181</v>
      </c>
      <c r="U14" t="e">
        <f t="shared" si="11"/>
        <v>#VALUE!</v>
      </c>
      <c r="W14">
        <f t="shared" ref="W14:Z14" si="15">M14/R14</f>
        <v>1</v>
      </c>
      <c r="X14">
        <f t="shared" si="15"/>
        <v>2.53253990390098</v>
      </c>
      <c r="Y14">
        <f t="shared" si="15"/>
        <v>2.29336864950705</v>
      </c>
      <c r="Z14" t="e">
        <f t="shared" si="15"/>
        <v>#VALUE!</v>
      </c>
    </row>
    <row r="15" spans="2:26">
      <c r="B15" s="4" t="s">
        <v>39</v>
      </c>
      <c r="C15" s="52">
        <f>16.09512*1000000</f>
        <v>16095120</v>
      </c>
      <c r="D15" s="56">
        <v>2299.49357711896</v>
      </c>
      <c r="E15" s="4">
        <v>1125.21870143339</v>
      </c>
      <c r="F15" s="56">
        <v>511.648752700537</v>
      </c>
      <c r="G15" s="58" t="s">
        <v>104</v>
      </c>
      <c r="H15" s="4">
        <f t="shared" si="0"/>
        <v>6999.41942006449</v>
      </c>
      <c r="I15" s="4">
        <f t="shared" si="1"/>
        <v>14303.9926189431</v>
      </c>
      <c r="J15" s="4">
        <f t="shared" si="2"/>
        <v>31457.3619402925</v>
      </c>
      <c r="K15" s="4" t="e">
        <f t="shared" si="3"/>
        <v>#VALUE!</v>
      </c>
      <c r="M15">
        <f t="shared" si="4"/>
        <v>1</v>
      </c>
      <c r="N15">
        <f t="shared" si="5"/>
        <v>2.0435970129093</v>
      </c>
      <c r="O15">
        <f t="shared" si="6"/>
        <v>4.49428160428807</v>
      </c>
      <c r="P15" t="e">
        <f t="shared" si="7"/>
        <v>#VALUE!</v>
      </c>
      <c r="R15">
        <f t="shared" si="8"/>
        <v>1</v>
      </c>
      <c r="S15">
        <f t="shared" si="9"/>
        <v>0.978666531300495</v>
      </c>
      <c r="T15">
        <f t="shared" si="10"/>
        <v>0.890019885755163</v>
      </c>
      <c r="U15" t="e">
        <f t="shared" si="11"/>
        <v>#VALUE!</v>
      </c>
      <c r="W15">
        <f t="shared" ref="W15:Z15" si="16">M15/R15</f>
        <v>1</v>
      </c>
      <c r="X15">
        <f t="shared" si="16"/>
        <v>2.08814437558591</v>
      </c>
      <c r="Y15">
        <f t="shared" si="16"/>
        <v>5.04964178466054</v>
      </c>
      <c r="Z15" t="e">
        <f t="shared" si="16"/>
        <v>#VALUE!</v>
      </c>
    </row>
    <row r="16" spans="2:26">
      <c r="B16" s="4" t="s">
        <v>40</v>
      </c>
      <c r="C16" s="52">
        <f>24.0394*1000000</f>
        <v>24039400</v>
      </c>
      <c r="D16" s="56">
        <v>3931.52983221784</v>
      </c>
      <c r="E16" s="4">
        <v>1768.24838788062</v>
      </c>
      <c r="F16" s="56">
        <v>869.347747631371</v>
      </c>
      <c r="G16" s="58" t="s">
        <v>104</v>
      </c>
      <c r="H16" s="4">
        <f t="shared" si="0"/>
        <v>6114.51547512206</v>
      </c>
      <c r="I16" s="4">
        <f t="shared" si="1"/>
        <v>13595.0357227884</v>
      </c>
      <c r="J16" s="4">
        <f t="shared" si="2"/>
        <v>27652.2255512801</v>
      </c>
      <c r="K16" s="4" t="e">
        <f t="shared" si="3"/>
        <v>#VALUE!</v>
      </c>
      <c r="M16">
        <f t="shared" si="4"/>
        <v>1</v>
      </c>
      <c r="N16">
        <f t="shared" si="5"/>
        <v>2.22340360051456</v>
      </c>
      <c r="O16">
        <f t="shared" si="6"/>
        <v>4.52239031265648</v>
      </c>
      <c r="P16" t="e">
        <f t="shared" si="7"/>
        <v>#VALUE!</v>
      </c>
      <c r="R16">
        <f t="shared" si="8"/>
        <v>1</v>
      </c>
      <c r="S16">
        <f t="shared" si="9"/>
        <v>0.899521796014516</v>
      </c>
      <c r="T16">
        <f t="shared" si="10"/>
        <v>0.884488008212272</v>
      </c>
      <c r="U16" t="e">
        <f t="shared" si="11"/>
        <v>#VALUE!</v>
      </c>
      <c r="W16">
        <f t="shared" ref="W16:Z16" si="17">M16/R16</f>
        <v>1</v>
      </c>
      <c r="X16">
        <f t="shared" si="17"/>
        <v>2.47176178539056</v>
      </c>
      <c r="Y16">
        <f t="shared" si="17"/>
        <v>5.11300353500229</v>
      </c>
      <c r="Z16" t="e">
        <f t="shared" si="17"/>
        <v>#VALUE!</v>
      </c>
    </row>
    <row r="17" spans="2:26">
      <c r="B17" s="4" t="s">
        <v>41</v>
      </c>
      <c r="C17" s="52">
        <f>32.202144*1000000</f>
        <v>32202144</v>
      </c>
      <c r="D17" s="56">
        <v>5568.99395758286</v>
      </c>
      <c r="E17" s="4">
        <v>2416.76287845895</v>
      </c>
      <c r="F17" s="56">
        <v>1354.50306645036</v>
      </c>
      <c r="G17" s="58" t="s">
        <v>104</v>
      </c>
      <c r="H17" s="4">
        <f t="shared" si="0"/>
        <v>5782.39880403405</v>
      </c>
      <c r="I17" s="4">
        <f t="shared" si="1"/>
        <v>13324.4946316511</v>
      </c>
      <c r="J17" s="4">
        <f t="shared" si="2"/>
        <v>23774.1388687954</v>
      </c>
      <c r="K17" s="4" t="e">
        <f t="shared" si="3"/>
        <v>#VALUE!</v>
      </c>
      <c r="M17">
        <f t="shared" si="4"/>
        <v>1</v>
      </c>
      <c r="N17">
        <f t="shared" si="5"/>
        <v>2.30431955373873</v>
      </c>
      <c r="O17">
        <f t="shared" si="6"/>
        <v>4.11146648207825</v>
      </c>
      <c r="P17" t="e">
        <f t="shared" si="7"/>
        <v>#VALUE!</v>
      </c>
      <c r="R17">
        <f t="shared" si="8"/>
        <v>1</v>
      </c>
      <c r="S17">
        <f t="shared" si="9"/>
        <v>0.867935177113358</v>
      </c>
      <c r="T17">
        <f t="shared" si="10"/>
        <v>0.972888874915039</v>
      </c>
      <c r="U17" t="e">
        <f t="shared" si="11"/>
        <v>#VALUE!</v>
      </c>
      <c r="W17">
        <f t="shared" ref="W17:Z17" si="18">M17/R17</f>
        <v>1</v>
      </c>
      <c r="X17">
        <f t="shared" si="18"/>
        <v>2.65494430287133</v>
      </c>
      <c r="Y17">
        <f t="shared" si="18"/>
        <v>4.22603915831322</v>
      </c>
      <c r="Z17" t="e">
        <f t="shared" si="18"/>
        <v>#VALUE!</v>
      </c>
    </row>
    <row r="18" spans="2:26">
      <c r="B18" s="4" t="s">
        <v>42</v>
      </c>
      <c r="C18" s="52">
        <f>63.78*1000000</f>
        <v>63780000</v>
      </c>
      <c r="D18" s="4">
        <v>11992.7629657835</v>
      </c>
      <c r="E18" s="4">
        <v>5936.16291154176</v>
      </c>
      <c r="F18" s="56">
        <v>3175.05446769297</v>
      </c>
      <c r="G18" s="58" t="s">
        <v>104</v>
      </c>
      <c r="H18" s="4">
        <f t="shared" si="0"/>
        <v>5318.20733737258</v>
      </c>
      <c r="I18" s="4">
        <f t="shared" si="1"/>
        <v>10744.3142902955</v>
      </c>
      <c r="J18" s="4">
        <f t="shared" si="2"/>
        <v>20087.8443658144</v>
      </c>
      <c r="K18" s="4" t="e">
        <f t="shared" si="3"/>
        <v>#VALUE!</v>
      </c>
      <c r="M18">
        <f t="shared" si="4"/>
        <v>1</v>
      </c>
      <c r="N18">
        <f t="shared" si="5"/>
        <v>2.02028871924418</v>
      </c>
      <c r="O18">
        <f t="shared" si="6"/>
        <v>3.77718337994295</v>
      </c>
      <c r="P18" t="e">
        <f t="shared" si="7"/>
        <v>#VALUE!</v>
      </c>
      <c r="R18">
        <f t="shared" si="8"/>
        <v>1</v>
      </c>
      <c r="S18">
        <f t="shared" si="9"/>
        <v>0.989957514957679</v>
      </c>
      <c r="T18">
        <f t="shared" si="10"/>
        <v>1.05899015156114</v>
      </c>
      <c r="U18" t="e">
        <f t="shared" si="11"/>
        <v>#VALUE!</v>
      </c>
      <c r="W18">
        <f t="shared" ref="W18:Z18" si="19">M18/R18</f>
        <v>1</v>
      </c>
      <c r="X18">
        <f t="shared" si="19"/>
        <v>2.04078325455264</v>
      </c>
      <c r="Y18">
        <f t="shared" si="19"/>
        <v>3.56677857142931</v>
      </c>
      <c r="Z18" t="e">
        <f t="shared" si="19"/>
        <v>#VALUE!</v>
      </c>
    </row>
    <row r="19" spans="2:26">
      <c r="B19" s="4" t="s">
        <v>43</v>
      </c>
      <c r="C19" s="52">
        <f>128.392704*1000000</f>
        <v>128392704</v>
      </c>
      <c r="D19" s="4">
        <v>24418.2976718992</v>
      </c>
      <c r="E19" s="4">
        <v>12502.970803082</v>
      </c>
      <c r="F19" s="56">
        <v>6613.60365755856</v>
      </c>
      <c r="G19" s="58" t="s">
        <v>104</v>
      </c>
      <c r="H19" s="4">
        <f t="shared" si="0"/>
        <v>5258.05302749485</v>
      </c>
      <c r="I19" s="4">
        <f t="shared" si="1"/>
        <v>10268.9757516151</v>
      </c>
      <c r="J19" s="4">
        <f t="shared" si="2"/>
        <v>19413.4258186552</v>
      </c>
      <c r="K19" s="4" t="e">
        <f t="shared" si="3"/>
        <v>#VALUE!</v>
      </c>
      <c r="M19">
        <f t="shared" si="4"/>
        <v>1</v>
      </c>
      <c r="N19">
        <f t="shared" si="5"/>
        <v>1.95299965556027</v>
      </c>
      <c r="O19">
        <f t="shared" si="6"/>
        <v>3.69213199584345</v>
      </c>
      <c r="P19" t="e">
        <f t="shared" si="7"/>
        <v>#VALUE!</v>
      </c>
      <c r="R19">
        <f t="shared" si="8"/>
        <v>1</v>
      </c>
      <c r="S19">
        <f t="shared" si="9"/>
        <v>1.02406572080334</v>
      </c>
      <c r="T19">
        <f t="shared" si="10"/>
        <v>1.08338488561708</v>
      </c>
      <c r="U19" t="e">
        <f t="shared" si="11"/>
        <v>#VALUE!</v>
      </c>
      <c r="W19">
        <f t="shared" ref="W19:Z19" si="20">M19/R19</f>
        <v>1</v>
      </c>
      <c r="X19">
        <f t="shared" si="20"/>
        <v>1.90710382730926</v>
      </c>
      <c r="Y19">
        <f t="shared" si="20"/>
        <v>3.40795966868273</v>
      </c>
      <c r="Z19" t="e">
        <f t="shared" si="20"/>
        <v>#VALUE!</v>
      </c>
    </row>
    <row r="21" spans="2:28">
      <c r="B21"/>
      <c r="J21"/>
      <c r="S21"/>
      <c r="AB21"/>
    </row>
    <row r="46" spans="3:4">
      <c r="C46" s="49"/>
      <c r="D46" s="49"/>
    </row>
    <row r="47" spans="2:4">
      <c r="B47" s="4"/>
      <c r="D47" s="4"/>
    </row>
    <row r="48" spans="2:4">
      <c r="B48" s="4"/>
      <c r="C48" s="4"/>
      <c r="D48" s="4"/>
    </row>
    <row r="49" spans="2:4">
      <c r="B49" s="4"/>
      <c r="C49" s="4"/>
      <c r="D49" s="4"/>
    </row>
    <row r="50" spans="2:4">
      <c r="B50" s="4"/>
      <c r="C50" s="4"/>
      <c r="D50" s="4"/>
    </row>
    <row r="51" spans="2:4">
      <c r="B51" s="4"/>
      <c r="C51" s="4"/>
      <c r="D51" s="4"/>
    </row>
    <row r="52" spans="2:4">
      <c r="B52" s="4"/>
      <c r="C52" s="4"/>
      <c r="D52" s="4"/>
    </row>
    <row r="53" spans="2:4">
      <c r="B53" s="4"/>
      <c r="C53" s="4"/>
      <c r="D53" s="4"/>
    </row>
    <row r="54" spans="2:4">
      <c r="B54" s="4"/>
      <c r="C54" s="4"/>
      <c r="D54" s="4"/>
    </row>
    <row r="69" spans="4:18"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</row>
    <row r="70" spans="4:18"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</row>
    <row r="71" spans="4:18"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</row>
    <row r="72" spans="4:18"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</row>
    <row r="73" spans="4:18"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</row>
    <row r="74" spans="4:18"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</row>
    <row r="75" spans="4:18"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</row>
    <row r="76" spans="4:18"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</row>
    <row r="77" spans="4:18"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</row>
    <row r="78" spans="4:18"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</row>
    <row r="79" spans="4:18"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</row>
  </sheetData>
  <mergeCells count="3">
    <mergeCell ref="M9:P9"/>
    <mergeCell ref="R9:U9"/>
    <mergeCell ref="W9:Z9"/>
  </mergeCells>
  <pageMargins left="0.75" right="0.75" top="1" bottom="1" header="0.5" footer="0.5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9"/>
  <sheetViews>
    <sheetView zoomScale="85" zoomScaleNormal="85" workbookViewId="0">
      <selection activeCell="B62" sqref="B62"/>
    </sheetView>
  </sheetViews>
  <sheetFormatPr defaultColWidth="9" defaultRowHeight="14.4"/>
  <cols>
    <col min="3" max="3" width="15" customWidth="1"/>
    <col min="4" max="7" width="12.6296296296296"/>
    <col min="8" max="8" width="11" customWidth="1"/>
    <col min="11" max="11" width="12.6296296296296"/>
    <col min="14" max="16" width="12.6296296296296"/>
    <col min="19" max="21" width="12.6296296296296"/>
    <col min="24" max="26" width="12.6296296296296"/>
  </cols>
  <sheetData>
    <row r="1" spans="1:1">
      <c r="A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6" spans="1:6">
      <c r="A6" s="57" t="s">
        <v>16</v>
      </c>
      <c r="B6" t="s">
        <v>17</v>
      </c>
      <c r="F6" s="6" t="s">
        <v>18</v>
      </c>
    </row>
    <row r="9" spans="13:26">
      <c r="M9" s="49" t="s">
        <v>73</v>
      </c>
      <c r="N9" s="49"/>
      <c r="O9" s="49"/>
      <c r="P9" s="49"/>
      <c r="R9" s="49" t="s">
        <v>74</v>
      </c>
      <c r="S9" s="49"/>
      <c r="T9" s="49"/>
      <c r="U9" s="49"/>
      <c r="W9" s="49" t="s">
        <v>75</v>
      </c>
      <c r="X9" s="49"/>
      <c r="Y9" s="49"/>
      <c r="Z9" s="49"/>
    </row>
    <row r="10" spans="3:26">
      <c r="C10" s="49" t="s">
        <v>26</v>
      </c>
      <c r="D10" s="49" t="s">
        <v>96</v>
      </c>
      <c r="E10" s="49" t="s">
        <v>97</v>
      </c>
      <c r="F10" s="49" t="s">
        <v>98</v>
      </c>
      <c r="G10" s="49" t="s">
        <v>99</v>
      </c>
      <c r="H10" s="49" t="s">
        <v>100</v>
      </c>
      <c r="I10" s="49" t="s">
        <v>101</v>
      </c>
      <c r="J10" s="49" t="s">
        <v>102</v>
      </c>
      <c r="K10" s="49" t="s">
        <v>103</v>
      </c>
      <c r="M10" s="49" t="s">
        <v>100</v>
      </c>
      <c r="N10" s="49" t="s">
        <v>101</v>
      </c>
      <c r="O10" s="49" t="s">
        <v>102</v>
      </c>
      <c r="P10" s="49" t="s">
        <v>103</v>
      </c>
      <c r="R10" s="49" t="s">
        <v>100</v>
      </c>
      <c r="S10" s="49" t="s">
        <v>101</v>
      </c>
      <c r="T10" s="49" t="s">
        <v>102</v>
      </c>
      <c r="U10" s="49" t="s">
        <v>103</v>
      </c>
      <c r="W10" s="49" t="s">
        <v>100</v>
      </c>
      <c r="X10" s="49" t="s">
        <v>101</v>
      </c>
      <c r="Y10" s="49" t="s">
        <v>102</v>
      </c>
      <c r="Z10" s="49" t="s">
        <v>103</v>
      </c>
    </row>
    <row r="11" spans="2:26">
      <c r="B11" s="4" t="s">
        <v>35</v>
      </c>
      <c r="C11" s="52">
        <f>0.9936*1000000</f>
        <v>993600</v>
      </c>
      <c r="D11" s="56">
        <v>180.22743499279</v>
      </c>
      <c r="E11" s="56">
        <v>87.6073202043772</v>
      </c>
      <c r="F11" s="56">
        <v>64.7334519587457</v>
      </c>
      <c r="G11" s="58" t="s">
        <v>104</v>
      </c>
      <c r="H11" s="4">
        <f t="shared" ref="H11:H19" si="0">C11/D11</f>
        <v>5513.03412845968</v>
      </c>
      <c r="I11" s="4">
        <f t="shared" ref="I11:I19" si="1">C11/E11</f>
        <v>11341.5180110755</v>
      </c>
      <c r="J11" s="4">
        <f t="shared" ref="J11:J19" si="2">C11/F11</f>
        <v>15349.0964862065</v>
      </c>
      <c r="K11" s="4" t="e">
        <f t="shared" ref="K11:K19" si="3">C11/G11</f>
        <v>#VALUE!</v>
      </c>
      <c r="M11">
        <f t="shared" ref="M11:M19" si="4">D11/D11</f>
        <v>1</v>
      </c>
      <c r="N11">
        <f t="shared" ref="N11:N19" si="5">D11/E11</f>
        <v>2.05721890102724</v>
      </c>
      <c r="O11">
        <f t="shared" ref="O11:O19" si="6">D11/F11</f>
        <v>2.78414682887061</v>
      </c>
      <c r="P11" t="e">
        <f t="shared" ref="P11:P19" si="7">D11/G11</f>
        <v>#VALUE!</v>
      </c>
      <c r="R11">
        <f t="shared" ref="R11:R19" si="8">1/M11</f>
        <v>1</v>
      </c>
      <c r="S11">
        <f t="shared" ref="S11:S19" si="9">2/N11</f>
        <v>0.972186284600698</v>
      </c>
      <c r="T11">
        <f t="shared" ref="T11:T19" si="10">4/O11</f>
        <v>1.43670583696284</v>
      </c>
      <c r="U11" t="e">
        <f t="shared" ref="U11:U19" si="11">8/P11</f>
        <v>#VALUE!</v>
      </c>
      <c r="W11">
        <f t="shared" ref="W11:Z11" si="12">M11/R11</f>
        <v>1</v>
      </c>
      <c r="X11">
        <f t="shared" si="12"/>
        <v>2.11607480337185</v>
      </c>
      <c r="Y11">
        <f t="shared" si="12"/>
        <v>1.93786839117757</v>
      </c>
      <c r="Z11" t="e">
        <f t="shared" si="12"/>
        <v>#VALUE!</v>
      </c>
    </row>
    <row r="12" spans="2:26">
      <c r="B12" s="4" t="s">
        <v>36</v>
      </c>
      <c r="C12" s="52">
        <f>2.111984*1000000</f>
        <v>2111984</v>
      </c>
      <c r="D12" s="56">
        <v>471.707965753973</v>
      </c>
      <c r="E12" s="56">
        <v>244.494871962816</v>
      </c>
      <c r="F12" s="56">
        <v>123.150659386069</v>
      </c>
      <c r="G12" s="56">
        <v>92.4759822040796</v>
      </c>
      <c r="H12" s="4">
        <f t="shared" si="0"/>
        <v>4477.31256058868</v>
      </c>
      <c r="I12" s="4">
        <f t="shared" si="1"/>
        <v>8638.15254301612</v>
      </c>
      <c r="J12" s="4">
        <f t="shared" si="2"/>
        <v>17149.5955484824</v>
      </c>
      <c r="K12" s="4">
        <f t="shared" si="3"/>
        <v>22838.1894375471</v>
      </c>
      <c r="M12">
        <f t="shared" si="4"/>
        <v>1</v>
      </c>
      <c r="N12">
        <f t="shared" si="5"/>
        <v>1.92931639820124</v>
      </c>
      <c r="O12">
        <f t="shared" si="6"/>
        <v>3.83033244081301</v>
      </c>
      <c r="P12">
        <f t="shared" si="7"/>
        <v>5.10087002604622</v>
      </c>
      <c r="R12">
        <f t="shared" si="8"/>
        <v>1</v>
      </c>
      <c r="S12">
        <f t="shared" si="9"/>
        <v>1.03663660448056</v>
      </c>
      <c r="T12">
        <f t="shared" si="10"/>
        <v>1.04429577897186</v>
      </c>
      <c r="U12">
        <f t="shared" si="11"/>
        <v>1.5683598992231</v>
      </c>
      <c r="W12">
        <f t="shared" ref="W12:Z12" si="13">M12/R12</f>
        <v>1</v>
      </c>
      <c r="X12">
        <f t="shared" si="13"/>
        <v>1.8611308821841</v>
      </c>
      <c r="Y12">
        <f t="shared" si="13"/>
        <v>3.66786165178613</v>
      </c>
      <c r="Z12">
        <f t="shared" si="13"/>
        <v>3.25235937782709</v>
      </c>
    </row>
    <row r="13" spans="2:26">
      <c r="B13" s="4" t="s">
        <v>37</v>
      </c>
      <c r="C13" s="52">
        <f>4.077216*1000000</f>
        <v>4077216</v>
      </c>
      <c r="D13" s="56">
        <v>1143.81608040631</v>
      </c>
      <c r="E13" s="56">
        <v>488.208165433258</v>
      </c>
      <c r="F13" s="56">
        <v>237.164206970483</v>
      </c>
      <c r="G13" s="56">
        <v>150.157898049802</v>
      </c>
      <c r="H13" s="4">
        <f t="shared" si="0"/>
        <v>3564.57307240486</v>
      </c>
      <c r="I13" s="4">
        <f t="shared" si="1"/>
        <v>8351.38838036782</v>
      </c>
      <c r="J13" s="4">
        <f t="shared" si="2"/>
        <v>17191.5317748915</v>
      </c>
      <c r="K13" s="4">
        <f t="shared" si="3"/>
        <v>27152.8574450858</v>
      </c>
      <c r="M13">
        <f t="shared" si="4"/>
        <v>1</v>
      </c>
      <c r="N13">
        <f t="shared" si="5"/>
        <v>2.34288600927278</v>
      </c>
      <c r="O13">
        <f t="shared" si="6"/>
        <v>4.8228866194327</v>
      </c>
      <c r="P13">
        <f t="shared" si="7"/>
        <v>7.61742202882293</v>
      </c>
      <c r="R13">
        <f t="shared" si="8"/>
        <v>1</v>
      </c>
      <c r="S13">
        <f t="shared" si="9"/>
        <v>0.853648018761609</v>
      </c>
      <c r="T13">
        <f t="shared" si="10"/>
        <v>0.829378817217666</v>
      </c>
      <c r="U13">
        <f t="shared" si="11"/>
        <v>1.05022407446108</v>
      </c>
      <c r="W13">
        <f t="shared" ref="W13:Z13" si="14">M13/R13</f>
        <v>1</v>
      </c>
      <c r="X13">
        <f t="shared" si="14"/>
        <v>2.74455742622306</v>
      </c>
      <c r="Y13">
        <f t="shared" si="14"/>
        <v>5.81505883597574</v>
      </c>
      <c r="Z13">
        <f t="shared" si="14"/>
        <v>7.25313979564961</v>
      </c>
    </row>
    <row r="14" spans="2:26">
      <c r="B14" s="4" t="s">
        <v>38</v>
      </c>
      <c r="C14" s="52">
        <f>7.983668*1000000</f>
        <v>7983668</v>
      </c>
      <c r="D14" s="56">
        <v>2547.9856958352</v>
      </c>
      <c r="E14" s="56">
        <v>1111.0197894685</v>
      </c>
      <c r="F14" s="56">
        <v>517.180395115167</v>
      </c>
      <c r="G14" s="56">
        <v>308.984118200839</v>
      </c>
      <c r="H14" s="4">
        <f t="shared" si="0"/>
        <v>3133.32528241806</v>
      </c>
      <c r="I14" s="4">
        <f t="shared" si="1"/>
        <v>7185.89180469891</v>
      </c>
      <c r="J14" s="4">
        <f t="shared" si="2"/>
        <v>15436.9115214087</v>
      </c>
      <c r="K14" s="4">
        <f t="shared" si="3"/>
        <v>25838.4412975253</v>
      </c>
      <c r="M14">
        <f t="shared" si="4"/>
        <v>1</v>
      </c>
      <c r="N14">
        <f t="shared" si="5"/>
        <v>2.29337561759735</v>
      </c>
      <c r="O14">
        <f t="shared" si="6"/>
        <v>4.92668654864191</v>
      </c>
      <c r="P14">
        <f t="shared" si="7"/>
        <v>8.24633224086623</v>
      </c>
      <c r="R14">
        <f t="shared" si="8"/>
        <v>1</v>
      </c>
      <c r="S14">
        <f t="shared" si="9"/>
        <v>0.872076943983252</v>
      </c>
      <c r="T14">
        <f t="shared" si="10"/>
        <v>0.811904707252513</v>
      </c>
      <c r="U14">
        <f t="shared" si="11"/>
        <v>0.970128266279949</v>
      </c>
      <c r="W14">
        <f t="shared" ref="W14:Z14" si="15">M14/R14</f>
        <v>1</v>
      </c>
      <c r="X14">
        <f t="shared" si="15"/>
        <v>2.62978586169502</v>
      </c>
      <c r="Y14">
        <f t="shared" si="15"/>
        <v>6.06806008714228</v>
      </c>
      <c r="Z14">
        <f t="shared" si="15"/>
        <v>8.50024942834373</v>
      </c>
    </row>
    <row r="15" spans="2:26">
      <c r="B15" s="4" t="s">
        <v>39</v>
      </c>
      <c r="C15" s="52">
        <f>16.09512*1000000</f>
        <v>16095120</v>
      </c>
      <c r="D15" s="56">
        <v>5575.08287202753</v>
      </c>
      <c r="E15" s="56">
        <v>2847.23837459832</v>
      </c>
      <c r="F15" s="56">
        <v>1294.73191141337</v>
      </c>
      <c r="G15" s="56">
        <v>649.885920897126</v>
      </c>
      <c r="H15" s="4">
        <f t="shared" si="0"/>
        <v>2886.9741256683</v>
      </c>
      <c r="I15" s="4">
        <f t="shared" si="1"/>
        <v>5652.88812611998</v>
      </c>
      <c r="J15" s="4">
        <f t="shared" si="2"/>
        <v>12431.237585262</v>
      </c>
      <c r="K15" s="4">
        <f t="shared" si="3"/>
        <v>24766.0696784779</v>
      </c>
      <c r="M15">
        <f t="shared" si="4"/>
        <v>1</v>
      </c>
      <c r="N15">
        <f t="shared" si="5"/>
        <v>1.95806677858999</v>
      </c>
      <c r="O15">
        <f t="shared" si="6"/>
        <v>4.30597471405613</v>
      </c>
      <c r="P15">
        <f t="shared" si="7"/>
        <v>8.5785561631055</v>
      </c>
      <c r="R15">
        <f t="shared" si="8"/>
        <v>1</v>
      </c>
      <c r="S15">
        <f t="shared" si="9"/>
        <v>1.0214156237512</v>
      </c>
      <c r="T15">
        <f t="shared" si="10"/>
        <v>0.928941822845052</v>
      </c>
      <c r="U15">
        <f t="shared" si="11"/>
        <v>0.932557862639667</v>
      </c>
      <c r="W15">
        <f t="shared" ref="W15:Z15" si="16">M15/R15</f>
        <v>1</v>
      </c>
      <c r="X15">
        <f t="shared" si="16"/>
        <v>1.91701275470889</v>
      </c>
      <c r="Y15">
        <f t="shared" si="16"/>
        <v>4.63535455952269</v>
      </c>
      <c r="Z15">
        <f t="shared" si="16"/>
        <v>9.19895323044441</v>
      </c>
    </row>
    <row r="16" spans="2:26">
      <c r="B16" s="4" t="s">
        <v>40</v>
      </c>
      <c r="C16" s="52">
        <f>24.0394*1000000</f>
        <v>24039400</v>
      </c>
      <c r="D16" s="56">
        <v>8339.73606383801</v>
      </c>
      <c r="E16" s="56">
        <v>4272.07284738123</v>
      </c>
      <c r="F16" s="56">
        <v>1997.8012692593</v>
      </c>
      <c r="G16" s="56">
        <v>1042.01684393454</v>
      </c>
      <c r="H16" s="4">
        <f t="shared" si="0"/>
        <v>2882.51328531096</v>
      </c>
      <c r="I16" s="4">
        <f t="shared" si="1"/>
        <v>5627.10441951759</v>
      </c>
      <c r="J16" s="4">
        <f t="shared" si="2"/>
        <v>12032.9285849902</v>
      </c>
      <c r="K16" s="4">
        <f t="shared" si="3"/>
        <v>23070.0685309749</v>
      </c>
      <c r="M16">
        <f t="shared" si="4"/>
        <v>1</v>
      </c>
      <c r="N16">
        <f t="shared" si="5"/>
        <v>1.95215211953847</v>
      </c>
      <c r="O16">
        <f t="shared" si="6"/>
        <v>4.17445728569891</v>
      </c>
      <c r="P16">
        <f t="shared" si="7"/>
        <v>8.00345609803014</v>
      </c>
      <c r="R16">
        <f t="shared" si="8"/>
        <v>1</v>
      </c>
      <c r="S16">
        <f t="shared" si="9"/>
        <v>1.02451032375123</v>
      </c>
      <c r="T16">
        <f t="shared" si="10"/>
        <v>0.958208391232898</v>
      </c>
      <c r="U16">
        <f t="shared" si="11"/>
        <v>0.999568174300227</v>
      </c>
      <c r="W16">
        <f t="shared" ref="W16:Z16" si="17">M16/R16</f>
        <v>1</v>
      </c>
      <c r="X16">
        <f t="shared" si="17"/>
        <v>1.90544894890927</v>
      </c>
      <c r="Y16">
        <f t="shared" si="17"/>
        <v>4.35652340753117</v>
      </c>
      <c r="Z16">
        <f t="shared" si="17"/>
        <v>8.00691368913697</v>
      </c>
    </row>
    <row r="17" spans="2:26">
      <c r="B17" s="4" t="s">
        <v>41</v>
      </c>
      <c r="C17" s="52">
        <f>32.202144*1000000</f>
        <v>32202144</v>
      </c>
      <c r="D17" s="56">
        <v>11411.2501577362</v>
      </c>
      <c r="E17" s="56">
        <v>5745.3572409302</v>
      </c>
      <c r="F17" s="56">
        <v>2766.8313992545</v>
      </c>
      <c r="G17" s="56">
        <v>1464.01409349591</v>
      </c>
      <c r="H17" s="4">
        <f t="shared" si="0"/>
        <v>2821.9646011501</v>
      </c>
      <c r="I17" s="4">
        <f t="shared" si="1"/>
        <v>5604.8984683825</v>
      </c>
      <c r="J17" s="4">
        <f t="shared" si="2"/>
        <v>11638.6361701246</v>
      </c>
      <c r="K17" s="4">
        <f t="shared" si="3"/>
        <v>21995.7882530384</v>
      </c>
      <c r="M17">
        <f t="shared" si="4"/>
        <v>1</v>
      </c>
      <c r="N17">
        <f t="shared" si="5"/>
        <v>1.98616894985083</v>
      </c>
      <c r="O17">
        <f t="shared" si="6"/>
        <v>4.1243026809696</v>
      </c>
      <c r="P17">
        <f t="shared" si="7"/>
        <v>7.79449474457404</v>
      </c>
      <c r="R17">
        <f t="shared" si="8"/>
        <v>1</v>
      </c>
      <c r="S17">
        <f t="shared" si="9"/>
        <v>1.00696368259619</v>
      </c>
      <c r="T17">
        <f t="shared" si="10"/>
        <v>0.969860921812757</v>
      </c>
      <c r="U17">
        <f t="shared" si="11"/>
        <v>1.02636543639586</v>
      </c>
      <c r="W17">
        <f t="shared" ref="W17:Z17" si="18">M17/R17</f>
        <v>1</v>
      </c>
      <c r="X17">
        <f t="shared" si="18"/>
        <v>1.97243354867578</v>
      </c>
      <c r="Y17">
        <f t="shared" si="18"/>
        <v>4.25246815106325</v>
      </c>
      <c r="Z17">
        <f t="shared" si="18"/>
        <v>7.59426854039904</v>
      </c>
    </row>
    <row r="18" spans="2:26">
      <c r="B18" s="4" t="s">
        <v>42</v>
      </c>
      <c r="C18" s="52">
        <f>63.78*1000000</f>
        <v>63780000</v>
      </c>
      <c r="D18" s="56">
        <v>22952.551202327</v>
      </c>
      <c r="E18" s="56">
        <v>12409.3365402147</v>
      </c>
      <c r="F18" s="56">
        <v>6307.13513433933</v>
      </c>
      <c r="G18" s="56">
        <v>3332.18755369075</v>
      </c>
      <c r="H18" s="4">
        <f t="shared" si="0"/>
        <v>2778.77606884649</v>
      </c>
      <c r="I18" s="4">
        <f t="shared" si="1"/>
        <v>5139.67848267386</v>
      </c>
      <c r="J18" s="4">
        <f t="shared" si="2"/>
        <v>10112.3566629718</v>
      </c>
      <c r="K18" s="4">
        <f t="shared" si="3"/>
        <v>19140.579265821</v>
      </c>
      <c r="M18">
        <f t="shared" si="4"/>
        <v>1</v>
      </c>
      <c r="N18">
        <f t="shared" si="5"/>
        <v>1.84961952864644</v>
      </c>
      <c r="O18">
        <f t="shared" si="6"/>
        <v>3.63914054692777</v>
      </c>
      <c r="P18">
        <f t="shared" si="7"/>
        <v>6.88813304548378</v>
      </c>
      <c r="R18">
        <f t="shared" si="8"/>
        <v>1</v>
      </c>
      <c r="S18">
        <f t="shared" si="9"/>
        <v>1.08130346215776</v>
      </c>
      <c r="T18">
        <f t="shared" si="10"/>
        <v>1.09916062554299</v>
      </c>
      <c r="U18">
        <f t="shared" si="11"/>
        <v>1.16141775241191</v>
      </c>
      <c r="W18">
        <f t="shared" ref="W18:Z18" si="19">M18/R18</f>
        <v>1</v>
      </c>
      <c r="X18">
        <f t="shared" si="19"/>
        <v>1.71054620037515</v>
      </c>
      <c r="Y18">
        <f t="shared" si="19"/>
        <v>3.31083598007344</v>
      </c>
      <c r="Z18">
        <f t="shared" si="19"/>
        <v>5.9307971065357</v>
      </c>
    </row>
    <row r="19" spans="2:26">
      <c r="B19" s="4" t="s">
        <v>43</v>
      </c>
      <c r="C19" s="52">
        <f>128.392704*1000000</f>
        <v>128392704</v>
      </c>
      <c r="D19" s="56">
        <v>47112.2719478607</v>
      </c>
      <c r="E19" s="56">
        <v>23848.5059897229</v>
      </c>
      <c r="F19" s="56">
        <v>12517.4917510524</v>
      </c>
      <c r="G19" s="56">
        <v>6621.79764702916</v>
      </c>
      <c r="H19" s="4">
        <f t="shared" si="0"/>
        <v>2725.24967893912</v>
      </c>
      <c r="I19" s="4">
        <f t="shared" si="1"/>
        <v>5383.67913089938</v>
      </c>
      <c r="J19" s="4">
        <f t="shared" si="2"/>
        <v>10257.0632003177</v>
      </c>
      <c r="K19" s="4">
        <f t="shared" si="3"/>
        <v>19389.403126446</v>
      </c>
      <c r="M19">
        <f t="shared" si="4"/>
        <v>1</v>
      </c>
      <c r="N19">
        <f t="shared" si="5"/>
        <v>1.97548106234256</v>
      </c>
      <c r="O19">
        <f t="shared" si="6"/>
        <v>3.76371503850999</v>
      </c>
      <c r="P19">
        <f t="shared" si="7"/>
        <v>7.11472540526777</v>
      </c>
      <c r="R19">
        <f t="shared" si="8"/>
        <v>1</v>
      </c>
      <c r="S19">
        <f t="shared" si="9"/>
        <v>1.01241162880517</v>
      </c>
      <c r="T19">
        <f t="shared" si="10"/>
        <v>1.06277971607105</v>
      </c>
      <c r="U19">
        <f t="shared" si="11"/>
        <v>1.1244284978415</v>
      </c>
      <c r="W19">
        <f t="shared" ref="W19:Z19" si="20">M19/R19</f>
        <v>1</v>
      </c>
      <c r="X19">
        <f t="shared" si="20"/>
        <v>1.95126271383704</v>
      </c>
      <c r="Y19">
        <f t="shared" si="20"/>
        <v>3.54138772277657</v>
      </c>
      <c r="Z19">
        <f t="shared" si="20"/>
        <v>6.32741469904533</v>
      </c>
    </row>
    <row r="21" spans="2:28">
      <c r="B21"/>
      <c r="J21"/>
      <c r="S21"/>
      <c r="AB21"/>
    </row>
    <row r="46" spans="3:4">
      <c r="C46" s="49"/>
      <c r="D46" s="49"/>
    </row>
    <row r="47" spans="2:4">
      <c r="B47" s="4"/>
      <c r="D47" s="4"/>
    </row>
    <row r="48" spans="2:4">
      <c r="B48" s="4"/>
      <c r="C48" s="4"/>
      <c r="D48" s="4"/>
    </row>
    <row r="49" spans="2:4">
      <c r="B49" s="4"/>
      <c r="C49" s="4"/>
      <c r="D49" s="4"/>
    </row>
    <row r="50" spans="2:4">
      <c r="B50" s="4"/>
      <c r="C50" s="4"/>
      <c r="D50" s="4"/>
    </row>
    <row r="51" spans="2:4">
      <c r="B51" s="4"/>
      <c r="C51" s="4"/>
      <c r="D51" s="4"/>
    </row>
    <row r="52" spans="2:4">
      <c r="B52" s="4"/>
      <c r="C52" s="4"/>
      <c r="D52" s="4"/>
    </row>
    <row r="53" spans="2:4">
      <c r="B53" s="4"/>
      <c r="C53" s="4"/>
      <c r="D53" s="4"/>
    </row>
    <row r="54" spans="2:4">
      <c r="B54" s="4"/>
      <c r="C54" s="4"/>
      <c r="D54" s="4"/>
    </row>
    <row r="69" spans="4:18"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</row>
    <row r="70" spans="4:18"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</row>
    <row r="71" spans="4:18"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</row>
    <row r="72" spans="4:18"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</row>
    <row r="73" spans="4:18"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</row>
    <row r="74" spans="4:18"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</row>
    <row r="75" spans="4:18"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</row>
    <row r="76" spans="4:18"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</row>
    <row r="77" spans="4:18"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</row>
    <row r="78" spans="4:18"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</row>
    <row r="79" spans="4:18"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</row>
  </sheetData>
  <mergeCells count="3">
    <mergeCell ref="M9:P9"/>
    <mergeCell ref="R9:U9"/>
    <mergeCell ref="W9:Z9"/>
  </mergeCells>
  <pageMargins left="0.75" right="0.75" top="1" bottom="1" header="0.5" footer="0.5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5"/>
  <sheetViews>
    <sheetView zoomScale="70" zoomScaleNormal="70" workbookViewId="0">
      <selection activeCell="G41" sqref="G41"/>
    </sheetView>
  </sheetViews>
  <sheetFormatPr defaultColWidth="9" defaultRowHeight="14.4"/>
  <cols>
    <col min="1" max="1" width="13.7407407407407" customWidth="1"/>
    <col min="3" max="3" width="15" customWidth="1"/>
    <col min="4" max="4" width="14.8796296296296" customWidth="1"/>
    <col min="5" max="5" width="20.75" customWidth="1"/>
    <col min="6" max="6" width="19.8796296296296" customWidth="1"/>
    <col min="7" max="7" width="20.3796296296296" customWidth="1"/>
    <col min="8" max="9" width="16.3796296296296" customWidth="1"/>
    <col min="10" max="11" width="18.6296296296296" customWidth="1"/>
    <col min="12" max="12" width="19" customWidth="1"/>
    <col min="13" max="13" width="18" customWidth="1"/>
    <col min="14" max="16" width="20.5" customWidth="1"/>
    <col min="17" max="17" width="14.1296296296296" customWidth="1"/>
    <col min="18" max="18" width="14.4537037037037" customWidth="1"/>
  </cols>
  <sheetData>
    <row r="2" spans="1:2">
      <c r="A2" t="s">
        <v>105</v>
      </c>
      <c r="B2" t="s">
        <v>106</v>
      </c>
    </row>
    <row r="5" spans="3:18">
      <c r="C5" s="48"/>
      <c r="D5" s="48"/>
      <c r="E5" s="3"/>
      <c r="F5" s="3"/>
      <c r="G5" s="3"/>
      <c r="H5" s="3"/>
      <c r="I5" s="3"/>
      <c r="J5" s="54"/>
      <c r="K5" s="54"/>
      <c r="L5" s="54"/>
      <c r="M5" s="54"/>
      <c r="N5" s="54"/>
      <c r="O5" s="54"/>
      <c r="P5" s="54"/>
      <c r="Q5" s="54"/>
      <c r="R5" s="54"/>
    </row>
    <row r="6" spans="3:18">
      <c r="C6" s="49" t="s">
        <v>94</v>
      </c>
      <c r="D6" s="49" t="s">
        <v>95</v>
      </c>
      <c r="E6" s="49" t="s">
        <v>107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2:19">
      <c r="B7" s="4">
        <v>1</v>
      </c>
      <c r="C7" s="50">
        <v>386.670285423</v>
      </c>
      <c r="D7" s="51">
        <f t="shared" ref="D7:D12" si="0">$C$7/C7</f>
        <v>1</v>
      </c>
      <c r="E7" s="4">
        <f t="shared" ref="E7:E12" si="1">B7</f>
        <v>1</v>
      </c>
      <c r="G7" s="4"/>
      <c r="I7" s="4"/>
      <c r="S7" s="4"/>
    </row>
    <row r="8" spans="2:19">
      <c r="B8" s="4">
        <v>2</v>
      </c>
      <c r="C8" s="50">
        <v>213.980099098</v>
      </c>
      <c r="D8" s="51">
        <f t="shared" si="0"/>
        <v>1.80703853794324</v>
      </c>
      <c r="E8" s="4">
        <f t="shared" si="1"/>
        <v>2</v>
      </c>
      <c r="G8" s="4"/>
      <c r="I8" s="4"/>
      <c r="S8" s="4"/>
    </row>
    <row r="9" spans="2:19">
      <c r="B9" s="4">
        <v>4</v>
      </c>
      <c r="C9" s="50">
        <v>109.352436936</v>
      </c>
      <c r="D9" s="51">
        <f t="shared" si="0"/>
        <v>3.5360006256587</v>
      </c>
      <c r="E9" s="4">
        <f t="shared" si="1"/>
        <v>4</v>
      </c>
      <c r="G9" s="4"/>
      <c r="I9" s="4"/>
      <c r="S9" s="4"/>
    </row>
    <row r="10" spans="2:19">
      <c r="B10" s="4">
        <v>8</v>
      </c>
      <c r="C10" s="50">
        <v>60.095664111</v>
      </c>
      <c r="D10" s="51">
        <f t="shared" si="0"/>
        <v>6.43424598335079</v>
      </c>
      <c r="E10" s="4">
        <f t="shared" si="1"/>
        <v>8</v>
      </c>
      <c r="G10" s="4"/>
      <c r="I10" s="4"/>
      <c r="S10" s="4"/>
    </row>
    <row r="11" spans="2:19">
      <c r="B11" s="4">
        <v>16</v>
      </c>
      <c r="C11" s="50">
        <v>41.770826455</v>
      </c>
      <c r="D11" s="51">
        <f t="shared" si="0"/>
        <v>9.25694601325551</v>
      </c>
      <c r="E11" s="4">
        <f t="shared" si="1"/>
        <v>16</v>
      </c>
      <c r="G11" s="4"/>
      <c r="I11" s="4"/>
      <c r="S11" s="4"/>
    </row>
    <row r="12" spans="2:19">
      <c r="B12" s="4">
        <v>32</v>
      </c>
      <c r="C12" s="50">
        <v>36.782932277</v>
      </c>
      <c r="D12" s="51">
        <f t="shared" si="0"/>
        <v>10.51222024691</v>
      </c>
      <c r="E12" s="4">
        <f t="shared" si="1"/>
        <v>32</v>
      </c>
      <c r="G12" s="4"/>
      <c r="I12" s="4"/>
      <c r="J12" s="53"/>
      <c r="S12" s="4"/>
    </row>
    <row r="13" spans="2:19">
      <c r="B13" s="4"/>
      <c r="C13" s="52"/>
      <c r="D13" s="51"/>
      <c r="E13" s="4"/>
      <c r="G13" s="4"/>
      <c r="I13" s="4"/>
      <c r="J13" s="53"/>
      <c r="K13" s="55"/>
      <c r="S13" s="4"/>
    </row>
    <row r="14" spans="2:19">
      <c r="B14" s="4"/>
      <c r="C14" s="52"/>
      <c r="D14" s="51"/>
      <c r="E14" s="4"/>
      <c r="G14" s="4"/>
      <c r="H14" s="53"/>
      <c r="I14" s="56"/>
      <c r="S14" s="4"/>
    </row>
    <row r="15" spans="2:19">
      <c r="B15" s="4"/>
      <c r="C15" s="52"/>
      <c r="D15" s="51"/>
      <c r="E15" s="4"/>
      <c r="S15" s="4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F16" sqref="F16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0.017</v>
      </c>
      <c r="C3" s="7" t="s">
        <v>112</v>
      </c>
      <c r="D3" s="8">
        <v>0.017</v>
      </c>
      <c r="E3" s="7" t="s">
        <v>113</v>
      </c>
      <c r="F3" s="8">
        <f>D3*9</f>
        <v>0.153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1.53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180</v>
      </c>
      <c r="C8" s="11" t="s">
        <v>125</v>
      </c>
      <c r="D8" s="12">
        <f>D7/B3</f>
        <v>90</v>
      </c>
      <c r="E8" s="7" t="s">
        <v>126</v>
      </c>
      <c r="F8" s="34">
        <v>45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45</v>
      </c>
      <c r="C9" s="13"/>
      <c r="D9" s="14"/>
      <c r="E9" s="7" t="s">
        <v>130</v>
      </c>
      <c r="F9" s="34">
        <v>45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2.975</v>
      </c>
      <c r="E11" s="7"/>
      <c r="J11" s="41" t="s">
        <v>134</v>
      </c>
      <c r="K11" s="42">
        <f>(B3*K9)/K3</f>
        <v>5.41608595909825</v>
      </c>
    </row>
    <row r="12" ht="15.15" spans="1:11">
      <c r="A12" s="11" t="s">
        <v>135</v>
      </c>
      <c r="B12" s="12">
        <f>D12+F13+F12</f>
        <v>276</v>
      </c>
      <c r="C12" s="15" t="s">
        <v>136</v>
      </c>
      <c r="D12" s="12">
        <f>D11/D3</f>
        <v>175</v>
      </c>
      <c r="E12" s="7" t="s">
        <v>137</v>
      </c>
      <c r="F12" s="34">
        <v>45</v>
      </c>
      <c r="G12" t="s">
        <v>127</v>
      </c>
      <c r="J12" s="43" t="s">
        <v>138</v>
      </c>
      <c r="K12" s="29">
        <f>(1-EXP(-1*K11/25))</f>
        <v>0.19478297237427</v>
      </c>
    </row>
    <row r="13" ht="15.15" spans="1:7">
      <c r="A13" s="11" t="s">
        <v>139</v>
      </c>
      <c r="B13" s="12">
        <f>F12</f>
        <v>45</v>
      </c>
      <c r="C13" s="13"/>
      <c r="D13" s="14"/>
      <c r="E13" s="7" t="s">
        <v>140</v>
      </c>
      <c r="F13" s="34">
        <v>56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0.0017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20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1.195</v>
      </c>
      <c r="G20" s="35" t="s">
        <v>147</v>
      </c>
      <c r="H20" s="36">
        <f>(B8*B12*B16)/1000000</f>
        <v>0.9936</v>
      </c>
      <c r="I20">
        <v>0.54</v>
      </c>
    </row>
    <row r="21" spans="1:8">
      <c r="A21" s="24" t="s">
        <v>148</v>
      </c>
      <c r="B21" s="25"/>
      <c r="C21" s="26">
        <f>ROUND(MAX(C29:C529),3)</f>
        <v>1.195</v>
      </c>
      <c r="G21" s="35"/>
      <c r="H21" s="36"/>
    </row>
    <row r="22" spans="1:7">
      <c r="A22" s="24" t="s">
        <v>149</v>
      </c>
      <c r="B22" s="25"/>
      <c r="C22" s="26">
        <f>ROUND(MAX(M28:M528),3)</f>
        <v>1.197</v>
      </c>
      <c r="G22" s="37"/>
    </row>
    <row r="23" ht="15.15" spans="1:6">
      <c r="A23" s="27" t="s">
        <v>150</v>
      </c>
      <c r="B23" s="28"/>
      <c r="C23" s="29">
        <f>ROUND(MAX(J28:J528),3)</f>
        <v>1.199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11.235</v>
      </c>
      <c r="D26" s="7" t="s">
        <v>155</v>
      </c>
      <c r="E26" s="9">
        <f>B4-D7*0.5</f>
        <v>11.235</v>
      </c>
      <c r="H26" s="7" t="s">
        <v>155</v>
      </c>
      <c r="I26" s="9">
        <f>B11-(D4+D11*0.5)</f>
        <v>21.6125</v>
      </c>
      <c r="K26" s="7" t="s">
        <v>155</v>
      </c>
      <c r="L26" s="9">
        <f>D4-D11*0.5</f>
        <v>11.4125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0.0171889521334203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0.0171889521334203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0.017193489276558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0.0171921554766564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0.0355105123234684</v>
      </c>
      <c r="C30" s="31">
        <f t="shared" ref="C30:C93" si="4">IF(A30=" "," ",(B30-B29)/(B29-B28))</f>
        <v>1.06589162898568</v>
      </c>
      <c r="D30" s="31">
        <f t="shared" si="1"/>
        <v>2</v>
      </c>
      <c r="E30" s="31">
        <f>IF(D30=" "," ",($E$26-$B$3*($F$8))*((D30/($F$8))-($C$18/(PI()))*SIN((PI()*D30)/($F$8)))+$B$3*D30)</f>
        <v>0.0355105123234684</v>
      </c>
      <c r="F30" s="31">
        <f t="shared" ref="F30:F93" si="5">IF(D30=" "," ",(E30-E29)/(E29-E28))</f>
        <v>1.06589162898568</v>
      </c>
      <c r="G30" s="31"/>
      <c r="H30" s="31">
        <f t="shared" si="2"/>
        <v>2</v>
      </c>
      <c r="I30" s="31">
        <f>IF(H30=" "," ",($I$26-$D$3*$F$13)*((H30/$F$13)-($C$18/(PI()))*SIN((PI()*H30)/$F$13))+$D$3*H30)</f>
        <v>0.0355471836329965</v>
      </c>
      <c r="J30" s="31">
        <f t="shared" ref="J30:J93" si="6">IF(H30=" "," ",(I30-I29)/(I29-I28))</f>
        <v>1.06747932669271</v>
      </c>
      <c r="K30" s="31">
        <f t="shared" si="3"/>
        <v>2</v>
      </c>
      <c r="L30" s="31">
        <f>IF(K30=" "," ",($L$26-$D$3*$F$12)*((K30/$F$12)-($C$18/(PI()))*SIN((PI()*K30)/$F$12))+$D$3*K30)</f>
        <v>0.0355361203404136</v>
      </c>
      <c r="M30" s="31">
        <f t="shared" ref="M30:M93" si="7">IF(K30=" "," ",(L30-L29)/(L29-L28))</f>
        <v>1.0669962174705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0.0560917706741697</v>
      </c>
      <c r="C31" s="31">
        <f t="shared" si="4"/>
        <v>1.12333546582351</v>
      </c>
      <c r="D31" s="31">
        <f t="shared" si="1"/>
        <v>3</v>
      </c>
      <c r="E31" s="31">
        <f>IF(D31=" "," ",($E$26-$B$3*($F$8))*((D31/($F$8))-($C$18/(PI()))*SIN((PI()*D31)/($F$8)))+$B$3*D31)</f>
        <v>0.0560917706741697</v>
      </c>
      <c r="F31" s="31">
        <f t="shared" si="5"/>
        <v>1.12333546582351</v>
      </c>
      <c r="G31" s="31"/>
      <c r="H31" s="31">
        <f t="shared" si="2"/>
        <v>3</v>
      </c>
      <c r="I31" s="31">
        <f>IF(H31=" "," ",($I$26-$D$3*$F$13)*((H31/$F$13)-($C$18/(PI()))*SIN((PI()*H31)/$F$13))+$D$3*H31)</f>
        <v>0.05621763771478</v>
      </c>
      <c r="J31" s="31">
        <f t="shared" si="6"/>
        <v>1.12622852273511</v>
      </c>
      <c r="K31" s="31">
        <f t="shared" si="3"/>
        <v>3</v>
      </c>
      <c r="L31" s="31">
        <f>IF(K31=" "," ",($L$26-$D$3*$F$12)*((K31/$F$12)-($C$18/(PI()))*SIN((PI()*K31)/$F$12))+$D$3*K31)</f>
        <v>0.0561780924788178</v>
      </c>
      <c r="M31" s="31">
        <f t="shared" si="7"/>
        <v>1.1252732052048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0.0800488082672548</v>
      </c>
      <c r="C32" s="31">
        <f t="shared" si="4"/>
        <v>1.16402200413897</v>
      </c>
      <c r="D32" s="31">
        <f t="shared" si="1"/>
        <v>4</v>
      </c>
      <c r="E32" s="31">
        <f>IF(D32=" "," ",($E$26-$B$3*($F$8))*((D32/($F$8))-($C$18/(PI()))*SIN((PI()*D32)/($F$8)))+$B$3*D32)</f>
        <v>0.0800488082672548</v>
      </c>
      <c r="F32" s="31">
        <f t="shared" si="5"/>
        <v>1.16402200413897</v>
      </c>
      <c r="G32" s="31"/>
      <c r="H32" s="31">
        <f t="shared" si="2"/>
        <v>4</v>
      </c>
      <c r="I32" s="31">
        <f>IF(H32=" "," ",($I$26-$D$3*$F$13)*((H32/$F$13)-($C$18/(PI()))*SIN((PI()*H32)/$F$13))+$D$3*H32)</f>
        <v>0.0803541167841588</v>
      </c>
      <c r="J32" s="31">
        <f t="shared" si="6"/>
        <v>1.16768015709195</v>
      </c>
      <c r="K32" s="31">
        <f t="shared" si="3"/>
        <v>4</v>
      </c>
      <c r="L32" s="31">
        <f>IF(K32=" "," ",($L$26-$D$3*$F$12)*((K32/$F$12)-($C$18/(PI()))*SIN((PI()*K32)/$F$12))+$D$3*K32)</f>
        <v>0.0802530741189681</v>
      </c>
      <c r="M32" s="31">
        <f t="shared" si="7"/>
        <v>1.16631208872524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0.108481259727317</v>
      </c>
      <c r="C33" s="31">
        <f t="shared" si="4"/>
        <v>1.18680998640121</v>
      </c>
      <c r="D33" s="31">
        <f t="shared" si="1"/>
        <v>5</v>
      </c>
      <c r="E33" s="31">
        <f>IF(D33=" "," ",($E$26-$B$3*($F$8))*((D33/($F$8))-($C$18/(PI()))*SIN((PI()*D33)/($F$8)))+$B$3*D33)</f>
        <v>0.108481259727317</v>
      </c>
      <c r="F33" s="31">
        <f t="shared" si="5"/>
        <v>1.18680998640121</v>
      </c>
      <c r="G33" s="31"/>
      <c r="H33" s="31">
        <f t="shared" si="2"/>
        <v>5</v>
      </c>
      <c r="I33" s="31">
        <f>IF(H33=" "," ",($I$26-$D$3*$F$13)*((H33/$F$13)-($C$18/(PI()))*SIN((PI()*H33)/$F$13))+$D$3*H33)</f>
        <v>0.109094980706466</v>
      </c>
      <c r="J33" s="31">
        <f t="shared" si="6"/>
        <v>1.19076456179435</v>
      </c>
      <c r="K33" s="31">
        <f t="shared" si="3"/>
        <v>5</v>
      </c>
      <c r="L33" s="31">
        <f>IF(K33=" "," ",($L$26-$D$3*$F$12)*((K33/$F$12)-($C$18/(PI()))*SIN((PI()*K33)/$F$12))+$D$3*K33)</f>
        <v>0.108879342210756</v>
      </c>
      <c r="M33" s="31">
        <f t="shared" si="7"/>
        <v>1.18904631038418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0.142466955912459</v>
      </c>
      <c r="C34" s="31">
        <f t="shared" si="4"/>
        <v>1.19531360962242</v>
      </c>
      <c r="D34" s="31">
        <f t="shared" si="1"/>
        <v>6</v>
      </c>
      <c r="E34" s="31">
        <f>IF(D34=" "," ",($E$26-$B$3*($F$8))*((D34/($F$8))-($C$18/(PI()))*SIN((PI()*D34)/($F$8)))+$B$3*D34)</f>
        <v>0.142466955912459</v>
      </c>
      <c r="F34" s="31">
        <f t="shared" si="5"/>
        <v>1.19531360962242</v>
      </c>
      <c r="G34" s="31"/>
      <c r="H34" s="31">
        <f t="shared" si="2"/>
        <v>6</v>
      </c>
      <c r="I34" s="31">
        <f>IF(H34=" "," ",($I$26-$D$3*$F$13)*((H34/$F$13)-($C$18/(PI()))*SIN((PI()*H34)/$F$13))+$D$3*H34)</f>
        <v>0.143564102248829</v>
      </c>
      <c r="J34" s="31">
        <f t="shared" si="6"/>
        <v>1.19930707843507</v>
      </c>
      <c r="K34" s="31">
        <f t="shared" si="3"/>
        <v>6</v>
      </c>
      <c r="L34" s="31">
        <f>IF(K34=" "," ",($L$26-$D$3*$F$12)*((K34/$F$12)-($C$18/(PI()))*SIN((PI()*K34)/$F$12))+$D$3*K34)</f>
        <v>0.143153000293974</v>
      </c>
      <c r="M34" s="31">
        <f t="shared" si="7"/>
        <v>1.19727999379181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0.18305667283069</v>
      </c>
      <c r="C35" s="31">
        <f t="shared" si="4"/>
        <v>1.1943176534361</v>
      </c>
      <c r="D35" s="31">
        <f t="shared" si="1"/>
        <v>7</v>
      </c>
      <c r="E35" s="31">
        <f>IF(D35=" "," ",($E$26-$B$3*($F$8))*((D35/($F$8))-($C$18/(PI()))*SIN((PI()*D35)/($F$8)))+$B$3*D35)</f>
        <v>0.18305667283069</v>
      </c>
      <c r="F35" s="31">
        <f t="shared" si="5"/>
        <v>1.1943176534361</v>
      </c>
      <c r="G35" s="31"/>
      <c r="H35" s="31">
        <f t="shared" si="2"/>
        <v>7</v>
      </c>
      <c r="I35" s="31">
        <f>IF(H35=" "," ",($I$26-$D$3*$F$13)*((H35/$F$13)-($C$18/(PI()))*SIN((PI()*H35)/$F$13))+$D$3*H35)</f>
        <v>0.184867330960652</v>
      </c>
      <c r="J35" s="31">
        <f t="shared" si="6"/>
        <v>1.19826751781481</v>
      </c>
      <c r="K35" s="31">
        <f t="shared" si="3"/>
        <v>7</v>
      </c>
      <c r="L35" s="31">
        <f>IF(K35=" "," ",($L$26-$D$3*$F$12)*((K35/$F$12)-($C$18/(PI()))*SIN((PI()*K35)/$F$12))+$D$3*K35)</f>
        <v>0.184142638392051</v>
      </c>
      <c r="M35" s="31">
        <f t="shared" si="7"/>
        <v>1.1959516547242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0.231269012364843</v>
      </c>
      <c r="C36" s="31">
        <f t="shared" si="4"/>
        <v>1.18779689031285</v>
      </c>
      <c r="D36" s="31">
        <f t="shared" si="1"/>
        <v>8</v>
      </c>
      <c r="E36" s="31">
        <f>IF(D36=" "," ",($E$26-$B$3*($F$8))*((D36/($F$8))-($C$18/(PI()))*SIN((PI()*D36)/($F$8)))+$B$3*D36)</f>
        <v>0.231269012364843</v>
      </c>
      <c r="F36" s="31">
        <f t="shared" si="5"/>
        <v>1.18779689031285</v>
      </c>
      <c r="G36" s="31"/>
      <c r="H36" s="31">
        <f t="shared" si="2"/>
        <v>8</v>
      </c>
      <c r="I36" s="31">
        <f>IF(H36=" "," ",($I$26-$D$3*$F$13)*((H36/$F$13)-($C$18/(PI()))*SIN((PI()*H36)/$F$13))+$D$3*H36)</f>
        <v>0.234089013761808</v>
      </c>
      <c r="J36" s="31">
        <f t="shared" si="6"/>
        <v>1.19171513550623</v>
      </c>
      <c r="K36" s="31">
        <f t="shared" si="3"/>
        <v>8</v>
      </c>
      <c r="L36" s="31">
        <f>IF(K36=" "," ",($L$26-$D$3*$F$12)*((K36/$F$12)-($C$18/(PI()))*SIN((PI()*K36)/$F$12))+$D$3*K36)</f>
        <v>0.23288412694887</v>
      </c>
      <c r="M36" s="31">
        <f t="shared" si="7"/>
        <v>1.18911731887446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0.28808543974659</v>
      </c>
      <c r="C37" s="31">
        <f t="shared" si="4"/>
        <v>1.17846235902944</v>
      </c>
      <c r="D37" s="31">
        <f t="shared" si="1"/>
        <v>9</v>
      </c>
      <c r="E37" s="31">
        <f>IF(D37=" "," ",($E$26-$B$3*($F$8))*((D37/($F$8))-($C$18/(PI()))*SIN((PI()*D37)/($F$8)))+$B$3*D37)</f>
        <v>0.28808543974659</v>
      </c>
      <c r="F37" s="31">
        <f t="shared" si="5"/>
        <v>1.17846235902944</v>
      </c>
      <c r="G37" s="31"/>
      <c r="H37" s="31">
        <f t="shared" si="2"/>
        <v>9</v>
      </c>
      <c r="I37" s="31">
        <f>IF(H37=" "," ",($I$26-$D$3*$F$13)*((H37/$F$13)-($C$18/(PI()))*SIN((PI()*H37)/$F$13))+$D$3*H37)</f>
        <v>0.292288583186059</v>
      </c>
      <c r="J37" s="31">
        <f t="shared" si="6"/>
        <v>1.18239698669717</v>
      </c>
      <c r="K37" s="31">
        <f t="shared" si="3"/>
        <v>9</v>
      </c>
      <c r="L37" s="31">
        <f>IF(K37=" "," ",($L$26-$D$3*$F$12)*((K37/$F$12)-($C$18/(PI()))*SIN((PI()*K37)/$F$12))+$D$3*K37)</f>
        <v>0.290375570172093</v>
      </c>
      <c r="M37" s="31">
        <f t="shared" si="7"/>
        <v>1.17951759220903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0.354445501956488</v>
      </c>
      <c r="C38" s="31">
        <f t="shared" si="4"/>
        <v>1.16797315966435</v>
      </c>
      <c r="D38" s="31">
        <f t="shared" si="1"/>
        <v>10</v>
      </c>
      <c r="E38" s="31">
        <f>IF(D38=" "," ",($E$26-$B$3*($F$8))*((D38/($F$8))-($C$18/(PI()))*SIN((PI()*D38)/($F$8)))+$B$3*D38)</f>
        <v>0.354445501956488</v>
      </c>
      <c r="F38" s="31">
        <f t="shared" si="5"/>
        <v>1.16797315966435</v>
      </c>
      <c r="G38" s="31"/>
      <c r="H38" s="31">
        <f t="shared" si="2"/>
        <v>10</v>
      </c>
      <c r="I38" s="31">
        <f>IF(H38=" "," ",($I$26-$D$3*$F$13)*((H38/$F$13)-($C$18/(PI()))*SIN((PI()*H38)/$F$13))+$D$3*H38)</f>
        <v>0.36049722401435</v>
      </c>
      <c r="J38" s="31">
        <f t="shared" si="6"/>
        <v>1.17197844422317</v>
      </c>
      <c r="K38" s="31">
        <f t="shared" si="3"/>
        <v>10</v>
      </c>
      <c r="L38" s="31">
        <f>IF(K38=" "," ",($L$26-$D$3*$F$12)*((K38/$F$12)-($C$18/(PI()))*SIN((PI()*K38)/$F$12))+$D$3*K38)</f>
        <v>0.357572443369791</v>
      </c>
      <c r="M38" s="31">
        <f t="shared" si="7"/>
        <v>1.16881520849618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0.431242250345536</v>
      </c>
      <c r="C39" s="31">
        <f t="shared" si="4"/>
        <v>1.15727360450836</v>
      </c>
      <c r="D39" s="31">
        <f t="shared" si="1"/>
        <v>11</v>
      </c>
      <c r="E39" s="31">
        <f>IF(D39=" "," ",($E$26-$B$3*($F$8))*((D39/($F$8))-($C$18/(PI()))*SIN((PI()*D39)/($F$8)))+$B$3*D39)</f>
        <v>0.431242250345536</v>
      </c>
      <c r="F39" s="31">
        <f t="shared" si="5"/>
        <v>1.15727360450836</v>
      </c>
      <c r="G39" s="31"/>
      <c r="H39" s="31">
        <f t="shared" si="2"/>
        <v>11</v>
      </c>
      <c r="I39" s="31">
        <f>IF(H39=" "," ",($I$26-$D$3*$F$13)*((H39/$F$13)-($C$18/(PI()))*SIN((PI()*H39)/$F$13))+$D$3*H39)</f>
        <v>0.439714628785995</v>
      </c>
      <c r="J39" s="31">
        <f t="shared" si="6"/>
        <v>1.16139837723883</v>
      </c>
      <c r="K39" s="31">
        <f t="shared" si="3"/>
        <v>11</v>
      </c>
      <c r="L39" s="31">
        <f>IF(K39=" "," ",($L$26-$D$3*$F$12)*((K39/$F$12)-($C$18/(PI()))*SIN((PI()*K39)/$F$12))+$D$3*K39)</f>
        <v>0.435382937970783</v>
      </c>
      <c r="M39" s="31">
        <f t="shared" si="7"/>
        <v>1.15794814398683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0.519317889778759</v>
      </c>
      <c r="C40" s="31">
        <f t="shared" si="4"/>
        <v>1.14686677861719</v>
      </c>
      <c r="D40" s="31">
        <f t="shared" si="1"/>
        <v>12</v>
      </c>
      <c r="E40" s="31">
        <f>IF(D40=" "," ",($E$26-$B$3*($F$8))*((D40/($F$8))-($C$18/(PI()))*SIN((PI()*D40)/($F$8)))+$B$3*D40)</f>
        <v>0.519317889778759</v>
      </c>
      <c r="F40" s="31">
        <f t="shared" si="5"/>
        <v>1.14686677861719</v>
      </c>
      <c r="G40" s="31"/>
      <c r="H40" s="31">
        <f t="shared" si="2"/>
        <v>12</v>
      </c>
      <c r="I40" s="31">
        <f>IF(H40=" "," ",($I$26-$D$3*$F$13)*((H40/$F$13)-($C$18/(PI()))*SIN((PI()*H40)/$F$13))+$D$3*H40)</f>
        <v>0.530905852396084</v>
      </c>
      <c r="J40" s="31">
        <f t="shared" si="6"/>
        <v>1.15115136469015</v>
      </c>
      <c r="K40" s="31">
        <f t="shared" si="3"/>
        <v>12</v>
      </c>
      <c r="L40" s="31">
        <f>IF(K40=" "," ",($L$26-$D$3*$F$12)*((K40/$F$12)-($C$18/(PI()))*SIN((PI()*K40)/$F$12))+$D$3*K40)</f>
        <v>0.524663536907291</v>
      </c>
      <c r="M40" s="31">
        <f t="shared" si="7"/>
        <v>1.14741076244707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0.619459675497764</v>
      </c>
      <c r="C41" s="31">
        <f t="shared" si="4"/>
        <v>1.13699754396822</v>
      </c>
      <c r="D41" s="31">
        <f t="shared" si="1"/>
        <v>13</v>
      </c>
      <c r="E41" s="31">
        <f>IF(D41=" "," ",($E$26-$B$3*($F$8))*((D41/($F$8))-($C$18/(PI()))*SIN((PI()*D41)/($F$8)))+$B$3*D41)</f>
        <v>0.619459675497764</v>
      </c>
      <c r="F41" s="31">
        <f t="shared" si="5"/>
        <v>1.13699754396822</v>
      </c>
      <c r="G41" s="31"/>
      <c r="H41" s="31">
        <f t="shared" si="2"/>
        <v>13</v>
      </c>
      <c r="I41" s="31">
        <f>IF(H41=" "," ",($I$26-$D$3*$F$13)*((H41/$F$13)-($C$18/(PI()))*SIN((PI()*H41)/$F$13))+$D$3*H41)</f>
        <v>0.634998275675762</v>
      </c>
      <c r="J41" s="31">
        <f t="shared" si="6"/>
        <v>1.14147413708089</v>
      </c>
      <c r="K41" s="31">
        <f t="shared" si="3"/>
        <v>13</v>
      </c>
      <c r="L41" s="31">
        <f>IF(K41=" "," ",($L$26-$D$3*$F$12)*((K41/$F$12)-($C$18/(PI()))*SIN((PI()*K41)/$F$12))+$D$3*K41)</f>
        <v>0.626214841916183</v>
      </c>
      <c r="M41" s="31">
        <f t="shared" si="7"/>
        <v>1.13743978219849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0.73239607769234</v>
      </c>
      <c r="C42" s="31">
        <f t="shared" si="4"/>
        <v>1.12776501221452</v>
      </c>
      <c r="D42" s="31">
        <f t="shared" si="1"/>
        <v>14</v>
      </c>
      <c r="E42" s="31">
        <f>IF(D42=" "," ",($E$26-$B$3*($F$8))*((D42/($F$8))-($C$18/(PI()))*SIN((PI()*D42)/($F$8)))+$B$3*D42)</f>
        <v>0.73239607769234</v>
      </c>
      <c r="F42" s="31">
        <f t="shared" si="5"/>
        <v>1.12776501221452</v>
      </c>
      <c r="G42" s="31"/>
      <c r="H42" s="31">
        <f t="shared" si="2"/>
        <v>14</v>
      </c>
      <c r="I42" s="31">
        <f>IF(H42=" "," ",($I$26-$D$3*$F$13)*((H42/$F$13)-($C$18/(PI()))*SIN((PI()*H42)/$F$13))+$D$3*H42)</f>
        <v>0.752878687509027</v>
      </c>
      <c r="J42" s="31">
        <f t="shared" si="6"/>
        <v>1.13245909855074</v>
      </c>
      <c r="K42" s="31">
        <f t="shared" si="3"/>
        <v>14</v>
      </c>
      <c r="L42" s="31">
        <f>IF(K42=" "," ",($L$26-$D$3*$F$12)*((K42/$F$12)-($C$18/(PI()))*SIN((PI()*K42)/$F$12))+$D$3*K42)</f>
        <v>0.740777673087793</v>
      </c>
      <c r="M42" s="31">
        <f t="shared" si="7"/>
        <v>1.1281276115711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0.858793232466918</v>
      </c>
      <c r="C43" s="31">
        <f t="shared" si="4"/>
        <v>1.11918878517849</v>
      </c>
      <c r="D43" s="31">
        <f t="shared" si="1"/>
        <v>15</v>
      </c>
      <c r="E43" s="31">
        <f>IF(D43=" "," ",($E$26-$B$3*($F$8))*((D43/($F$8))-($C$18/(PI()))*SIN((PI()*D43)/($F$8)))+$B$3*D43)</f>
        <v>0.858793232466918</v>
      </c>
      <c r="F43" s="31">
        <f t="shared" si="5"/>
        <v>1.11918878517849</v>
      </c>
      <c r="G43" s="31"/>
      <c r="H43" s="31">
        <f t="shared" si="2"/>
        <v>15</v>
      </c>
      <c r="I43" s="31">
        <f>IF(H43=" "," ",($I$26-$D$3*$F$13)*((H43/$F$13)-($C$18/(PI()))*SIN((PI()*H43)/$F$13))+$D$3*H43)</f>
        <v>0.885390494666822</v>
      </c>
      <c r="J43" s="31">
        <f t="shared" si="6"/>
        <v>1.12412066684348</v>
      </c>
      <c r="K43" s="31">
        <f t="shared" si="3"/>
        <v>15</v>
      </c>
      <c r="L43" s="31">
        <f>IF(K43=" "," ",($L$26-$D$3*$F$12)*((K43/$F$12)-($C$18/(PI()))*SIN((PI()*K43)/$F$12))+$D$3*K43)</f>
        <v>0.869029459664901</v>
      </c>
      <c r="M43" s="31">
        <f t="shared" si="7"/>
        <v>1.11948862703115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0.999251696492428</v>
      </c>
      <c r="C44" s="31">
        <f t="shared" si="4"/>
        <v>1.11124703934997</v>
      </c>
      <c r="D44" s="31">
        <f t="shared" si="1"/>
        <v>16</v>
      </c>
      <c r="E44" s="31">
        <f>IF(D44=" "," ",($E$26-$B$3*($F$8))*((D44/($F$8))-($C$18/(PI()))*SIN((PI()*D44)/($F$8)))+$B$3*D44)</f>
        <v>0.999251696492428</v>
      </c>
      <c r="F44" s="31">
        <f t="shared" si="5"/>
        <v>1.11124703934997</v>
      </c>
      <c r="G44" s="31"/>
      <c r="H44" s="31">
        <f t="shared" si="2"/>
        <v>16</v>
      </c>
      <c r="I44" s="31">
        <f>IF(H44=" "," ",($I$26-$D$3*$F$13)*((H44/$F$13)-($C$18/(PI()))*SIN((PI()*H44)/$F$13))+$D$3*H44)</f>
        <v>1.0333310681373</v>
      </c>
      <c r="J44" s="31">
        <f t="shared" si="6"/>
        <v>1.11643314391082</v>
      </c>
      <c r="K44" s="31">
        <f t="shared" si="3"/>
        <v>16</v>
      </c>
      <c r="L44" s="31">
        <f>IF(K44=" "," ",($L$26-$D$3*$F$12)*((K44/$F$12)-($C$18/(PI()))*SIN((PI()*K44)/$F$12))+$D$3*K44)</f>
        <v>1.01158093967556</v>
      </c>
      <c r="M44" s="31">
        <f t="shared" si="7"/>
        <v>1.1114970310761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1.15430352115457</v>
      </c>
      <c r="C45" s="31">
        <f t="shared" si="4"/>
        <v>1.10389805084283</v>
      </c>
      <c r="D45" s="31">
        <f t="shared" si="1"/>
        <v>17</v>
      </c>
      <c r="E45" s="31">
        <f>IF(D45=" "," ",($E$26-$B$3*($F$8))*((D45/($F$8))-($C$18/(PI()))*SIN((PI()*D45)/($F$8)))+$B$3*D45)</f>
        <v>1.15430352115457</v>
      </c>
      <c r="F45" s="31">
        <f t="shared" si="5"/>
        <v>1.10389805084283</v>
      </c>
      <c r="G45" s="31"/>
      <c r="H45" s="31">
        <f t="shared" si="2"/>
        <v>17</v>
      </c>
      <c r="I45" s="31">
        <f>IF(H45=" "," ",($I$26-$D$3*$F$13)*((H45/$F$13)-($C$18/(PI()))*SIN((PI()*H45)/$F$13))+$D$3*H45)</f>
        <v>1.19744923430171</v>
      </c>
      <c r="J45" s="31">
        <f t="shared" si="6"/>
        <v>1.1093519669042</v>
      </c>
      <c r="K45" s="31">
        <f t="shared" si="3"/>
        <v>17</v>
      </c>
      <c r="L45" s="31">
        <f>IF(K45=" "," ",($L$26-$D$3*$F$12)*((K45/$F$12)-($C$18/(PI()))*SIN((PI()*K45)/$F$12))+$D$3*K45)</f>
        <v>1.16897318447882</v>
      </c>
      <c r="M45" s="31">
        <f t="shared" si="7"/>
        <v>1.10410810741136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1.32440966045293</v>
      </c>
      <c r="C46" s="31">
        <f t="shared" si="4"/>
        <v>1.0970921475386</v>
      </c>
      <c r="D46" s="31">
        <f t="shared" si="1"/>
        <v>18</v>
      </c>
      <c r="E46" s="31">
        <f>IF(D46=" "," ",($E$26-$B$3*($F$8))*((D46/($F$8))-($C$18/(PI()))*SIN((PI()*D46)/($F$8)))+$B$3*D46)</f>
        <v>1.32440966045293</v>
      </c>
      <c r="F46" s="31">
        <f t="shared" si="5"/>
        <v>1.0970921475386</v>
      </c>
      <c r="G46" s="31"/>
      <c r="H46" s="31">
        <f t="shared" si="2"/>
        <v>18</v>
      </c>
      <c r="I46" s="31">
        <f>IF(H46=" "," ",($I$26-$D$3*$F$13)*((H46/$F$13)-($C$18/(PI()))*SIN((PI()*H46)/$F$13))+$D$3*H46)</f>
        <v>1.37844291884955</v>
      </c>
      <c r="J46" s="31">
        <f t="shared" si="6"/>
        <v>1.10282541401616</v>
      </c>
      <c r="K46" s="31">
        <f t="shared" si="3"/>
        <v>18</v>
      </c>
      <c r="L46" s="31">
        <f>IF(K46=" "," ",($L$26-$D$3*$F$12)*((K46/$F$12)-($C$18/(PI()))*SIN((PI()*K46)/$F$12))+$D$3*K46)</f>
        <v>1.34167496271944</v>
      </c>
      <c r="M46" s="31">
        <f t="shared" si="7"/>
        <v>1.09726993510069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1.50995772527946</v>
      </c>
      <c r="C47" s="31">
        <f t="shared" si="4"/>
        <v>1.09077817879977</v>
      </c>
      <c r="D47" s="31">
        <f t="shared" si="1"/>
        <v>19</v>
      </c>
      <c r="E47" s="31">
        <f>IF(D47=" "," ",($E$26-$B$3*($F$8))*((D47/($F$8))-($C$18/(PI()))*SIN((PI()*D47)/($F$8)))+$B$3*D47)</f>
        <v>1.50995772527946</v>
      </c>
      <c r="F47" s="31">
        <f t="shared" si="5"/>
        <v>1.09077817879977</v>
      </c>
      <c r="G47" s="31"/>
      <c r="H47" s="31">
        <f t="shared" si="2"/>
        <v>19</v>
      </c>
      <c r="I47" s="31">
        <f>IF(H47=" "," ",($I$26-$D$3*$F$13)*((H47/$F$13)-($C$18/(PI()))*SIN((PI()*H47)/$F$13))+$D$3*H47)</f>
        <v>1.57695695084614</v>
      </c>
      <c r="J47" s="31">
        <f t="shared" si="6"/>
        <v>1.09680087729312</v>
      </c>
      <c r="K47" s="31">
        <f t="shared" si="3"/>
        <v>19</v>
      </c>
      <c r="L47" s="31">
        <f>IF(K47=" "," ",($L$26-$D$3*$F$12)*((K47/$F$12)-($C$18/(PI()))*SIN((PI()*K47)/$F$12))+$D$3*K47)</f>
        <v>1.5300804565342</v>
      </c>
      <c r="M47" s="31">
        <f t="shared" si="7"/>
        <v>1.09092966924898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1.71126009501714</v>
      </c>
      <c r="C48" s="31">
        <f t="shared" si="4"/>
        <v>1.08490686726311</v>
      </c>
      <c r="D48" s="31">
        <f t="shared" si="1"/>
        <v>20</v>
      </c>
      <c r="E48" s="31">
        <f>IF(D48=" "," ",($E$26-$B$3*($F$8))*((D48/($F$8))-($C$18/(PI()))*SIN((PI()*D48)/($F$8)))+$B$3*D48)</f>
        <v>1.71126009501714</v>
      </c>
      <c r="F48" s="31">
        <f t="shared" si="5"/>
        <v>1.08490686726311</v>
      </c>
      <c r="G48" s="31"/>
      <c r="H48" s="31">
        <f t="shared" si="2"/>
        <v>20</v>
      </c>
      <c r="I48" s="31">
        <f>IF(H48=" "," ",($I$26-$D$3*$F$13)*((H48/$F$13)-($C$18/(PI()))*SIN((PI()*H48)/$F$13))+$D$3*H48)</f>
        <v>1.79358103386182</v>
      </c>
      <c r="J48" s="31">
        <f t="shared" si="6"/>
        <v>1.09122806502366</v>
      </c>
      <c r="K48" s="31">
        <f t="shared" si="3"/>
        <v>20</v>
      </c>
      <c r="L48" s="31">
        <f>IF(K48=" "," ",($L$26-$D$3*$F$12)*((K48/$F$12)-($C$18/(PI()))*SIN((PI()*K48)/$F$12))+$D$3*K48)</f>
        <v>1.7345073411361</v>
      </c>
      <c r="M48" s="31">
        <f t="shared" si="7"/>
        <v>1.08503674952762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1.92855239565905</v>
      </c>
      <c r="C49" s="31">
        <f t="shared" si="4"/>
        <v>1.07943240273359</v>
      </c>
      <c r="D49" s="31">
        <f t="shared" si="1"/>
        <v>21</v>
      </c>
      <c r="E49" s="31">
        <f>IF(D49=" "," ",($E$26-$B$3*($F$8))*((D49/($F$8))-($C$18/(PI()))*SIN((PI()*D49)/($F$8)))+$B$3*D49)</f>
        <v>1.92855239565905</v>
      </c>
      <c r="F49" s="31">
        <f t="shared" si="5"/>
        <v>1.07943240273359</v>
      </c>
      <c r="G49" s="31"/>
      <c r="H49" s="31">
        <f t="shared" si="2"/>
        <v>21</v>
      </c>
      <c r="I49" s="31">
        <f>IF(H49=" "," ",($I$26-$D$3*$F$13)*((H49/$F$13)-($C$18/(PI()))*SIN((PI()*H49)/$F$13))+$D$3*H49)</f>
        <v>2.02884789054636</v>
      </c>
      <c r="J49" s="31">
        <f t="shared" si="6"/>
        <v>1.08606048510085</v>
      </c>
      <c r="K49" s="31">
        <f t="shared" si="3"/>
        <v>21</v>
      </c>
      <c r="L49" s="31">
        <f>IF(K49=" "," ",($L$26-$D$3*$F$12)*((K49/$F$12)-($C$18/(PI()))*SIN((PI()*K49)/$F$12))+$D$3*K49)</f>
        <v>1.95519523713273</v>
      </c>
      <c r="M49" s="31">
        <f t="shared" si="7"/>
        <v>1.07954438784503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2.1619923518622</v>
      </c>
      <c r="C50" s="31">
        <f t="shared" si="4"/>
        <v>1.07431305901561</v>
      </c>
      <c r="D50" s="31">
        <f t="shared" si="1"/>
        <v>22</v>
      </c>
      <c r="E50" s="31">
        <f>IF(D50=" "," ",($E$26-$B$3*($F$8))*((D50/($F$8))-($C$18/(PI()))*SIN((PI()*D50)/($F$8)))+$B$3*D50)</f>
        <v>2.1619923518622</v>
      </c>
      <c r="F50" s="31">
        <f t="shared" si="5"/>
        <v>1.07431305901561</v>
      </c>
      <c r="G50" s="31"/>
      <c r="H50" s="31">
        <f t="shared" si="2"/>
        <v>22</v>
      </c>
      <c r="I50" s="31">
        <f>IF(H50=" "," ",($I$26-$D$3*$F$13)*((H50/$F$13)-($C$18/(PI()))*SIN((PI()*H50)/$F$13))+$D$3*H50)</f>
        <v>2.28323158648639</v>
      </c>
      <c r="J50" s="31">
        <f t="shared" si="6"/>
        <v>1.08125598107995</v>
      </c>
      <c r="K50" s="31">
        <f t="shared" si="3"/>
        <v>22</v>
      </c>
      <c r="L50" s="31">
        <f>IF(K50=" "," ",($L$26-$D$3*$F$12)*((K50/$F$12)-($C$18/(PI()))*SIN((PI()*K50)/$F$12))+$D$3*K50)</f>
        <v>2.1923045431187</v>
      </c>
      <c r="M50" s="31">
        <f t="shared" si="7"/>
        <v>1.07441010715686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2.41165901852887</v>
      </c>
      <c r="C51" s="31">
        <f t="shared" si="4"/>
        <v>1.06951128130522</v>
      </c>
      <c r="D51" s="31">
        <f t="shared" si="1"/>
        <v>23</v>
      </c>
      <c r="E51" s="31">
        <f>IF(D51=" "," ",($E$26-$B$3*($F$8))*((D51/($F$8))-($C$18/(PI()))*SIN((PI()*D51)/($F$8)))+$B$3*D51)</f>
        <v>2.41165901852887</v>
      </c>
      <c r="F51" s="31">
        <f t="shared" si="5"/>
        <v>1.06951128130522</v>
      </c>
      <c r="G51" s="31"/>
      <c r="H51" s="31">
        <f t="shared" si="2"/>
        <v>23</v>
      </c>
      <c r="I51" s="31">
        <f>IF(H51=" "," ",($I$26-$D$3*$F$13)*((H51/$F$13)-($C$18/(PI()))*SIN((PI()*H51)/$F$13))+$D$3*H51)</f>
        <v>2.55714603861971</v>
      </c>
      <c r="J51" s="31">
        <f t="shared" si="6"/>
        <v>1.07677676087343</v>
      </c>
      <c r="K51" s="31">
        <f t="shared" si="3"/>
        <v>23</v>
      </c>
      <c r="L51" s="31">
        <f>IF(K51=" "," ",($L$26-$D$3*$F$12)*((K51/$F$12)-($C$18/(PI()))*SIN((PI()*K51)/$F$12))+$D$3*K51)</f>
        <v>2.44591565422981</v>
      </c>
      <c r="M51" s="31">
        <f t="shared" si="7"/>
        <v>1.06959577169073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2.67755239565905</v>
      </c>
      <c r="C52" s="31">
        <f t="shared" si="4"/>
        <v>1.06499349985387</v>
      </c>
      <c r="D52" s="31">
        <f t="shared" si="1"/>
        <v>24</v>
      </c>
      <c r="E52" s="31">
        <f>IF(D52=" "," ",($E$26-$B$3*($F$8))*((D52/($F$8))-($C$18/(PI()))*SIN((PI()*D52)/($F$8)))+$B$3*D52)</f>
        <v>2.67755239565905</v>
      </c>
      <c r="F52" s="31">
        <f t="shared" si="5"/>
        <v>1.06499349985387</v>
      </c>
      <c r="G52" s="31"/>
      <c r="H52" s="31">
        <f t="shared" si="2"/>
        <v>24</v>
      </c>
      <c r="I52" s="31">
        <f>IF(H52=" "," ",($I$26-$D$3*$F$13)*((H52/$F$13)-($C$18/(PI()))*SIN((PI()*H52)/$F$13))+$D$3*H52)</f>
        <v>2.85094371289944</v>
      </c>
      <c r="J52" s="31">
        <f t="shared" si="6"/>
        <v>1.07258916786448</v>
      </c>
      <c r="K52" s="31">
        <f t="shared" si="3"/>
        <v>24</v>
      </c>
      <c r="L52" s="31">
        <f>IF(K52=" "," ",($L$26-$D$3*$F$12)*((K52/$F$12)-($C$18/(PI()))*SIN((PI()*K52)/$F$12))+$D$3*K52)</f>
        <v>2.71602857046607</v>
      </c>
      <c r="M52" s="31">
        <f t="shared" si="7"/>
        <v>1.06506735865337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2.95959342835047</v>
      </c>
      <c r="C53" s="31">
        <f t="shared" si="4"/>
        <v>1.06072981484355</v>
      </c>
      <c r="D53" s="31">
        <f t="shared" si="1"/>
        <v>25</v>
      </c>
      <c r="E53" s="31">
        <f>IF(D53=" "," ",($E$26-$B$3*($F$8))*((D53/($F$8))-($C$18/(PI()))*SIN((PI()*D53)/($F$8)))+$B$3*D53)</f>
        <v>2.95959342835047</v>
      </c>
      <c r="F53" s="31">
        <f t="shared" si="5"/>
        <v>1.06072981484355</v>
      </c>
      <c r="G53" s="31"/>
      <c r="H53" s="31">
        <f t="shared" si="2"/>
        <v>25</v>
      </c>
      <c r="I53" s="31">
        <f>IF(H53=" "," ",($I$26-$D$3*$F$13)*((H53/$F$13)-($C$18/(PI()))*SIN((PI()*H53)/$F$13))+$D$3*H53)</f>
        <v>3.16491451530575</v>
      </c>
      <c r="J53" s="31">
        <f t="shared" si="6"/>
        <v>1.06866333498398</v>
      </c>
      <c r="K53" s="31">
        <f t="shared" si="3"/>
        <v>25</v>
      </c>
      <c r="L53" s="31">
        <f>IF(K53=" "," ",($L$26-$D$3*$F$12)*((K53/$F$12)-($C$18/(PI()))*SIN((PI()*K53)/$F$12))+$D$3*K53)</f>
        <v>3.00256289669166</v>
      </c>
      <c r="M53" s="31">
        <f t="shared" si="7"/>
        <v>1.06079461218719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3.25762439194612</v>
      </c>
      <c r="C54" s="31">
        <f t="shared" si="4"/>
        <v>1.0566936333754</v>
      </c>
      <c r="D54" s="31">
        <f t="shared" si="1"/>
        <v>26</v>
      </c>
      <c r="E54" s="31">
        <f>IF(D54=" "," ",($E$26-$B$3*($F$8))*((D54/($F$8))-($C$18/(PI()))*SIN((PI()*D54)/($F$8)))+$B$3*D54)</f>
        <v>3.25762439194612</v>
      </c>
      <c r="F54" s="31">
        <f t="shared" si="5"/>
        <v>1.0566936333754</v>
      </c>
      <c r="G54" s="31"/>
      <c r="H54" s="31">
        <f t="shared" si="2"/>
        <v>26</v>
      </c>
      <c r="I54" s="31">
        <f>IF(H54=" "," ",($I$26-$D$3*$F$13)*((H54/$F$13)-($C$18/(PI()))*SIN((PI()*H54)/$F$13))+$D$3*H54)</f>
        <v>3.49928487969439</v>
      </c>
      <c r="J54" s="31">
        <f t="shared" si="6"/>
        <v>1.06497279946409</v>
      </c>
      <c r="K54" s="31">
        <f t="shared" si="3"/>
        <v>26</v>
      </c>
      <c r="L54" s="31">
        <f>IF(K54=" "," ",($L$26-$D$3*$F$12)*((K54/$F$12)-($C$18/(PI()))*SIN((PI()*K54)/$F$12))+$D$3*K54)</f>
        <v>3.30535823431197</v>
      </c>
      <c r="M54" s="31">
        <f t="shared" si="7"/>
        <v>1.05675065744801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3.57140966045293</v>
      </c>
      <c r="C55" s="31">
        <f t="shared" si="4"/>
        <v>1.05286130246697</v>
      </c>
      <c r="D55" s="31">
        <f t="shared" si="1"/>
        <v>27</v>
      </c>
      <c r="E55" s="31">
        <f>IF(D55=" "," ",($E$26-$B$3*($F$8))*((D55/($F$8))-($C$18/(PI()))*SIN((PI()*D55)/($F$8)))+$B$3*D55)</f>
        <v>3.57140966045293</v>
      </c>
      <c r="F55" s="31">
        <f t="shared" si="5"/>
        <v>1.05286130246697</v>
      </c>
      <c r="G55" s="31"/>
      <c r="H55" s="31">
        <f t="shared" si="2"/>
        <v>27</v>
      </c>
      <c r="I55" s="31">
        <f>IF(H55=" "," ",($I$26-$D$3*$F$13)*((H55/$F$13)-($C$18/(PI()))*SIN((PI()*H55)/$F$13))+$D$3*H55)</f>
        <v>3.85421705535199</v>
      </c>
      <c r="J55" s="31">
        <f t="shared" si="6"/>
        <v>1.06149411987081</v>
      </c>
      <c r="K55" s="31">
        <f t="shared" si="3"/>
        <v>27</v>
      </c>
      <c r="L55" s="31">
        <f>IF(K55=" "," ",($L$26-$D$3*$F$12)*((K55/$F$12)-($C$18/(PI()))*SIN((PI()*K55)/$F$12))+$D$3*K55)</f>
        <v>3.62417496271944</v>
      </c>
      <c r="M55" s="31">
        <f t="shared" si="7"/>
        <v>1.05291161651651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3.9006368544879</v>
      </c>
      <c r="C56" s="31">
        <f t="shared" si="4"/>
        <v>1.04921176064654</v>
      </c>
      <c r="D56" s="31">
        <f t="shared" si="1"/>
        <v>28</v>
      </c>
      <c r="E56" s="31">
        <f>IF(D56=" "," ",($E$26-$B$3*($F$8))*((D56/($F$8))-($C$18/(PI()))*SIN((PI()*D56)/($F$8)))+$B$3*D56)</f>
        <v>3.9006368544879</v>
      </c>
      <c r="F56" s="31">
        <f t="shared" si="5"/>
        <v>1.04921176064654</v>
      </c>
      <c r="G56" s="31"/>
      <c r="H56" s="31">
        <f t="shared" si="2"/>
        <v>28</v>
      </c>
      <c r="I56" s="31">
        <f>IF(H56=" "," ",($I$26-$D$3*$F$13)*((H56/$F$13)-($C$18/(PI()))*SIN((PI()*H56)/$F$13))+$D$3*H56)</f>
        <v>4.22980859649979</v>
      </c>
      <c r="J56" s="31">
        <f t="shared" si="6"/>
        <v>1.05820651636311</v>
      </c>
      <c r="K56" s="31">
        <f t="shared" si="3"/>
        <v>28</v>
      </c>
      <c r="L56" s="31">
        <f>IF(K56=" "," ",($L$26-$D$3*$F$12)*((K56/$F$12)-($C$18/(PI()))*SIN((PI()*K56)/$F$12))+$D$3*K56)</f>
        <v>3.95869540670104</v>
      </c>
      <c r="M56" s="31">
        <f t="shared" si="7"/>
        <v>1.04925624716299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4.24491836315909</v>
      </c>
      <c r="C57" s="31">
        <f t="shared" si="4"/>
        <v>1.04572621857788</v>
      </c>
      <c r="D57" s="31">
        <f t="shared" si="1"/>
        <v>29</v>
      </c>
      <c r="E57" s="31">
        <f>IF(D57=" "," ",($E$26-$B$3*($F$8))*((D57/($F$8))-($C$18/(PI()))*SIN((PI()*D57)/($F$8)))+$B$3*D57)</f>
        <v>4.24491836315909</v>
      </c>
      <c r="F57" s="31">
        <f t="shared" si="5"/>
        <v>1.04572621857788</v>
      </c>
      <c r="G57" s="31"/>
      <c r="H57" s="31">
        <f t="shared" si="2"/>
        <v>29</v>
      </c>
      <c r="I57" s="31">
        <f>IF(H57=" "," ",($I$26-$D$3*$F$13)*((H57/$F$13)-($C$18/(PI()))*SIN((PI()*H57)/$F$13))+$D$3*H57)</f>
        <v>4.62609205535199</v>
      </c>
      <c r="J57" s="31">
        <f t="shared" si="6"/>
        <v>1.05509154343881</v>
      </c>
      <c r="K57" s="31">
        <f t="shared" si="3"/>
        <v>29</v>
      </c>
      <c r="L57" s="31">
        <f>IF(K57=" "," ",($L$26-$D$3*$F$12)*((K57/$F$12)-($C$18/(PI()))*SIN((PI()*K57)/$F$12))+$D$3*K57)</f>
        <v>4.30852538412001</v>
      </c>
      <c r="M57" s="31">
        <f t="shared" si="7"/>
        <v>1.0457656137698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4.60379323246692</v>
      </c>
      <c r="C58" s="31">
        <f t="shared" si="4"/>
        <v>1.04238787233433</v>
      </c>
      <c r="D58" s="31">
        <f t="shared" si="1"/>
        <v>30</v>
      </c>
      <c r="E58" s="31">
        <f>IF(D58=" "," ",($E$26-$B$3*($F$8))*((D58/($F$8))-($C$18/(PI()))*SIN((PI()*D58)/($F$8)))+$B$3*D58)</f>
        <v>4.60379323246692</v>
      </c>
      <c r="F58" s="31">
        <f t="shared" si="5"/>
        <v>1.04238787233433</v>
      </c>
      <c r="G58" s="31"/>
      <c r="H58" s="31">
        <f t="shared" si="2"/>
        <v>30</v>
      </c>
      <c r="I58" s="31">
        <f>IF(H58=" "," ",($I$26-$D$3*$F$13)*((H58/$F$13)-($C$18/(PI()))*SIN((PI()*H58)/$F$13))+$D$3*H58)</f>
        <v>5.04303487969439</v>
      </c>
      <c r="J58" s="31">
        <f t="shared" si="6"/>
        <v>1.05213279794731</v>
      </c>
      <c r="K58" s="31">
        <f t="shared" si="3"/>
        <v>30</v>
      </c>
      <c r="L58" s="31">
        <f>IF(K58=" "," ",($L$26-$D$3*$F$12)*((K58/$F$12)-($C$18/(PI()))*SIN((PI()*K58)/$F$12))+$D$3*K58)</f>
        <v>4.67319612633157</v>
      </c>
      <c r="M58" s="31">
        <f t="shared" si="7"/>
        <v>1.04242279321541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4.97672941102567</v>
      </c>
      <c r="C59" s="31">
        <f t="shared" si="4"/>
        <v>1.03918164924185</v>
      </c>
      <c r="D59" s="31">
        <f t="shared" si="1"/>
        <v>31</v>
      </c>
      <c r="E59" s="31">
        <f>IF(D59=" "," ",($E$26-$B$3*($F$8))*((D59/($F$8))-($C$18/(PI()))*SIN((PI()*D59)/($F$8)))+$B$3*D59)</f>
        <v>4.97672941102567</v>
      </c>
      <c r="F59" s="31">
        <f t="shared" si="5"/>
        <v>1.03918164924185</v>
      </c>
      <c r="G59" s="31"/>
      <c r="H59" s="31">
        <f t="shared" si="2"/>
        <v>31</v>
      </c>
      <c r="I59" s="31">
        <f>IF(H59=" "," ",($I$26-$D$3*$F$13)*((H59/$F$13)-($C$18/(PI()))*SIN((PI()*H59)/$F$13))+$D$3*H59)</f>
        <v>5.48053951530575</v>
      </c>
      <c r="J59" s="31">
        <f t="shared" si="6"/>
        <v>1.04931566168909</v>
      </c>
      <c r="K59" s="31">
        <f t="shared" si="3"/>
        <v>31</v>
      </c>
      <c r="L59" s="31">
        <f>IF(K59=" "," ",($L$26-$D$3*$F$12)*((K59/$F$12)-($C$18/(PI()))*SIN((PI()*K59)/$F$12))+$D$3*K59)</f>
        <v>5.05216656197668</v>
      </c>
      <c r="M59" s="31">
        <f t="shared" si="7"/>
        <v>1.03921261504785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5.36312634216443</v>
      </c>
      <c r="C60" s="31">
        <f t="shared" si="4"/>
        <v>1.03609398431662</v>
      </c>
      <c r="D60" s="31">
        <f t="shared" si="1"/>
        <v>32</v>
      </c>
      <c r="E60" s="31">
        <f>IF(D60=" "," ",($E$26-$B$3*($F$8))*((D60/($F$8))-($C$18/(PI()))*SIN((PI()*D60)/($F$8)))+$B$3*D60)</f>
        <v>5.36312634216443</v>
      </c>
      <c r="F60" s="31">
        <f t="shared" si="5"/>
        <v>1.03609398431662</v>
      </c>
      <c r="G60" s="31"/>
      <c r="H60" s="31">
        <f t="shared" si="2"/>
        <v>32</v>
      </c>
      <c r="I60" s="31">
        <f>IF(H60=" "," ",($I$26-$D$3*$F$13)*((H60/$F$13)-($C$18/(PI()))*SIN((PI()*H60)/$F$13))+$D$3*H60)</f>
        <v>5.93844371289944</v>
      </c>
      <c r="J60" s="31">
        <f t="shared" si="6"/>
        <v>1.04662707619958</v>
      </c>
      <c r="K60" s="31">
        <f t="shared" si="3"/>
        <v>32</v>
      </c>
      <c r="L60" s="31">
        <f>IF(K60=" "," ",($L$26-$D$3*$F$12)*((K60/$F$12)-($C$18/(PI()))*SIN((PI()*K60)/$F$12))+$D$3*K60)</f>
        <v>5.44482595302729</v>
      </c>
      <c r="M60" s="31">
        <f t="shared" si="7"/>
        <v>1.03612143354189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5.76231788977876</v>
      </c>
      <c r="C61" s="31">
        <f t="shared" si="4"/>
        <v>1.03311262446589</v>
      </c>
      <c r="D61" s="31">
        <f t="shared" si="1"/>
        <v>33</v>
      </c>
      <c r="E61" s="31">
        <f>IF(D61=" "," ",($E$26-$B$3*($F$8))*((D61/($F$8))-($C$18/(PI()))*SIN((PI()*D61)/($F$8)))+$B$3*D61)</f>
        <v>5.76231788977876</v>
      </c>
      <c r="F61" s="31">
        <f t="shared" si="5"/>
        <v>1.03311262446589</v>
      </c>
      <c r="G61" s="31"/>
      <c r="H61" s="31">
        <f t="shared" si="2"/>
        <v>33</v>
      </c>
      <c r="I61" s="31">
        <f>IF(H61=" "," ",($I$26-$D$3*$F$13)*((H61/$F$13)-($C$18/(PI()))*SIN((PI()*H61)/$F$13))+$D$3*H61)</f>
        <v>6.41652103861971</v>
      </c>
      <c r="J61" s="31">
        <f t="shared" si="6"/>
        <v>1.04405534658253</v>
      </c>
      <c r="K61" s="31">
        <f t="shared" si="3"/>
        <v>33</v>
      </c>
      <c r="L61" s="31">
        <f>IF(K61=" "," ",($L$26-$D$3*$F$12)*((K61/$F$12)-($C$18/(PI()))*SIN((PI()*K61)/$F$12))+$D$3*K61)</f>
        <v>5.85049687024062</v>
      </c>
      <c r="M61" s="31">
        <f t="shared" si="7"/>
        <v>1.03313692849139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6.17357558367887</v>
      </c>
      <c r="C62" s="31">
        <f t="shared" si="4"/>
        <v>1.03022645734333</v>
      </c>
      <c r="D62" s="31">
        <f t="shared" si="1"/>
        <v>34</v>
      </c>
      <c r="E62" s="31">
        <f>IF(D62=" "," ",($E$26-$B$3*($F$8))*((D62/($F$8))-($C$18/(PI()))*SIN((PI()*D62)/($F$8)))+$B$3*D62)</f>
        <v>6.17357558367887</v>
      </c>
      <c r="F62" s="31">
        <f t="shared" si="5"/>
        <v>1.03022645734333</v>
      </c>
      <c r="G62" s="31"/>
      <c r="H62" s="31">
        <f t="shared" si="2"/>
        <v>34</v>
      </c>
      <c r="I62" s="31">
        <f>IF(H62=" "," ",($I$26-$D$3*$F$13)*((H62/$F$13)-($C$18/(PI()))*SIN((PI()*H62)/$F$13))+$D$3*H62)</f>
        <v>6.91448158648639</v>
      </c>
      <c r="J62" s="31">
        <f t="shared" si="6"/>
        <v>1.04158997107101</v>
      </c>
      <c r="K62" s="31">
        <f t="shared" si="3"/>
        <v>34</v>
      </c>
      <c r="L62" s="31">
        <f>IF(K62=" "," ",($L$26-$D$3*$F$12)*((K62/$F$12)-($C$18/(PI()))*SIN((PI()*K62)/$F$12))+$D$3*K62)</f>
        <v>6.26843849352634</v>
      </c>
      <c r="M62" s="31">
        <f t="shared" si="7"/>
        <v>1.03024793139394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6.59611216862315</v>
      </c>
      <c r="C63" s="31">
        <f t="shared" si="4"/>
        <v>1.0274253617901</v>
      </c>
      <c r="D63" s="31">
        <f t="shared" si="1"/>
        <v>35</v>
      </c>
      <c r="E63" s="31">
        <f>IF(D63=" "," ",($E$26-$B$3*($F$8))*((D63/($F$8))-($C$18/(PI()))*SIN((PI()*D63)/($F$8)))+$B$3*D63)</f>
        <v>6.59611216862315</v>
      </c>
      <c r="F63" s="31">
        <f t="shared" si="5"/>
        <v>1.0274253617901</v>
      </c>
      <c r="G63" s="31"/>
      <c r="H63" s="31">
        <f t="shared" si="2"/>
        <v>35</v>
      </c>
      <c r="I63" s="31">
        <f>IF(H63=" "," ",($I$26-$D$3*$F$13)*((H63/$F$13)-($C$18/(PI()))*SIN((PI()*H63)/$F$13))+$D$3*H63)</f>
        <v>7.43197289054636</v>
      </c>
      <c r="J63" s="31">
        <f t="shared" si="6"/>
        <v>1.03922149310213</v>
      </c>
      <c r="K63" s="31">
        <f t="shared" si="3"/>
        <v>35</v>
      </c>
      <c r="L63" s="31">
        <f>IF(K63=" "," ",($L$26-$D$3*$F$12)*((K63/$F$12)-($C$18/(PI()))*SIN((PI()*K63)/$F$12))+$D$3*K63)</f>
        <v>6.69785022114757</v>
      </c>
      <c r="M63" s="31">
        <f t="shared" si="7"/>
        <v>1.02744427378479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7.02908543974659</v>
      </c>
      <c r="C64" s="31">
        <f t="shared" si="4"/>
        <v>1.02470007698985</v>
      </c>
      <c r="D64" s="31">
        <f t="shared" si="1"/>
        <v>36</v>
      </c>
      <c r="E64" s="31">
        <f>IF(D64=" "," ",($E$26-$B$3*($F$8))*((D64/($F$8))-($C$18/(PI()))*SIN((PI()*D64)/($F$8)))+$B$3*D64)</f>
        <v>7.02908543974659</v>
      </c>
      <c r="F64" s="31">
        <f t="shared" si="5"/>
        <v>1.02470007698985</v>
      </c>
      <c r="G64" s="31"/>
      <c r="H64" s="31">
        <f t="shared" si="2"/>
        <v>36</v>
      </c>
      <c r="I64" s="31">
        <f>IF(H64=" "," ",($I$26-$D$3*$F$13)*((H64/$F$13)-($C$18/(PI()))*SIN((PI()*H64)/$F$13))+$D$3*H64)</f>
        <v>7.96858103386182</v>
      </c>
      <c r="J64" s="31">
        <f t="shared" si="6"/>
        <v>1.03694137293809</v>
      </c>
      <c r="K64" s="31">
        <f t="shared" si="3"/>
        <v>36</v>
      </c>
      <c r="L64" s="31">
        <f>IF(K64=" "," ",($L$26-$D$3*$F$12)*((K64/$F$12)-($C$18/(PI()))*SIN((PI()*K64)/$F$12))+$D$3*K64)</f>
        <v>7.13787557017209</v>
      </c>
      <c r="M64" s="31">
        <f t="shared" si="7"/>
        <v>1.02471665471759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7.47160234569817</v>
      </c>
      <c r="C65" s="31">
        <f t="shared" si="4"/>
        <v>1.02204208773301</v>
      </c>
      <c r="D65" s="31">
        <f t="shared" si="1"/>
        <v>37</v>
      </c>
      <c r="E65" s="31">
        <f>IF(D65=" "," ",($E$26-$B$3*($F$8))*((D65/($F$8))-($C$18/(PI()))*SIN((PI()*D65)/($F$8)))+$B$3*D65)</f>
        <v>7.47160234569817</v>
      </c>
      <c r="F65" s="31">
        <f t="shared" si="5"/>
        <v>1.02204208773301</v>
      </c>
      <c r="G65" s="31"/>
      <c r="H65" s="31">
        <f t="shared" si="2"/>
        <v>37</v>
      </c>
      <c r="I65" s="31">
        <f>IF(H65=" "," ",($I$26-$D$3*$F$13)*((H65/$F$13)-($C$18/(PI()))*SIN((PI()*H65)/$F$13))+$D$3*H65)</f>
        <v>8.52383195084614</v>
      </c>
      <c r="J65" s="31">
        <f t="shared" si="6"/>
        <v>1.03474187617368</v>
      </c>
      <c r="K65" s="31">
        <f t="shared" si="3"/>
        <v>37</v>
      </c>
      <c r="L65" s="31">
        <f>IF(K65=" "," ",($L$26-$D$3*$F$12)*((K65/$F$12)-($C$18/(PI()))*SIN((PI()*K65)/$F$12))+$D$3*K65)</f>
        <v>7.58760634917109</v>
      </c>
      <c r="M65" s="31">
        <f t="shared" si="7"/>
        <v>1.02205652468883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7.92272333949735</v>
      </c>
      <c r="C66" s="31">
        <f t="shared" si="4"/>
        <v>1.01944352347193</v>
      </c>
      <c r="D66" s="31">
        <f t="shared" si="1"/>
        <v>38</v>
      </c>
      <c r="E66" s="31">
        <f>IF(D66=" "," ",($E$26-$B$3*($F$8))*((D66/($F$8))-($C$18/(PI()))*SIN((PI()*D66)/($F$8)))+$B$3*D66)</f>
        <v>7.92272333949735</v>
      </c>
      <c r="F66" s="31">
        <f t="shared" si="5"/>
        <v>1.01944352347193</v>
      </c>
      <c r="G66" s="31"/>
      <c r="H66" s="31">
        <f t="shared" si="2"/>
        <v>38</v>
      </c>
      <c r="I66" s="31">
        <f>IF(H66=" "," ",($I$26-$D$3*$F$13)*((H66/$F$13)-($C$18/(PI()))*SIN((PI()*H66)/$F$13))+$D$3*H66)</f>
        <v>9.09719291884955</v>
      </c>
      <c r="J66" s="31">
        <f t="shared" si="6"/>
        <v>1.03261597678659</v>
      </c>
      <c r="K66" s="31">
        <f t="shared" si="3"/>
        <v>38</v>
      </c>
      <c r="L66" s="31">
        <f>IF(K66=" "," ",($L$26-$D$3*$F$12)*((K66/$F$12)-($C$18/(PI()))*SIN((PI()*K66)/$F$12))+$D$3*K66)</f>
        <v>8.04608708283649</v>
      </c>
      <c r="M66" s="31">
        <f t="shared" si="7"/>
        <v>1.01945598361286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8.38146695591246</v>
      </c>
      <c r="C67" s="31">
        <f t="shared" si="4"/>
        <v>1.01689706912491</v>
      </c>
      <c r="D67" s="31">
        <f t="shared" si="1"/>
        <v>39</v>
      </c>
      <c r="E67" s="31">
        <f>IF(D67=" "," ",($E$26-$B$3*($F$8))*((D67/($F$8))-($C$18/(PI()))*SIN((PI()*D67)/($F$8)))+$B$3*D67)</f>
        <v>8.38146695591246</v>
      </c>
      <c r="F67" s="31">
        <f t="shared" si="5"/>
        <v>1.01689706912491</v>
      </c>
      <c r="G67" s="31"/>
      <c r="H67" s="31">
        <f t="shared" si="2"/>
        <v>39</v>
      </c>
      <c r="I67" s="31">
        <f>IF(H67=" "," ",($I$26-$D$3*$F$13)*((H67/$F$13)-($C$18/(PI()))*SIN((PI()*H67)/$F$13))+$D$3*H67)</f>
        <v>9.68807423430171</v>
      </c>
      <c r="J67" s="31">
        <f t="shared" si="6"/>
        <v>1.03055727268941</v>
      </c>
      <c r="K67" s="31">
        <f t="shared" si="3"/>
        <v>39</v>
      </c>
      <c r="L67" s="31">
        <f>IF(K67=" "," ",($L$26-$D$3*$F$12)*((K67/$F$12)-($C$18/(PI()))*SIN((PI()*K67)/$F$12))+$D$3*K67)</f>
        <v>8.51231966696064</v>
      </c>
      <c r="M67" s="31">
        <f t="shared" si="7"/>
        <v>1.01690769074803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8.84681459306065</v>
      </c>
      <c r="C68" s="31">
        <f t="shared" si="4"/>
        <v>1.01439588584294</v>
      </c>
      <c r="D68" s="31">
        <f t="shared" si="1"/>
        <v>40</v>
      </c>
      <c r="E68" s="31">
        <f>IF(D68=" "," ",($E$26-$B$3*($F$8))*((D68/($F$8))-($C$18/(PI()))*SIN((PI()*D68)/($F$8)))+$B$3*D68)</f>
        <v>8.84681459306065</v>
      </c>
      <c r="F68" s="31">
        <f t="shared" si="5"/>
        <v>1.01439588584294</v>
      </c>
      <c r="G68" s="31"/>
      <c r="H68" s="31">
        <f t="shared" si="2"/>
        <v>40</v>
      </c>
      <c r="I68" s="31">
        <f>IF(H68=" "," ",($I$26-$D$3*$F$13)*((H68/$F$13)-($C$18/(PI()))*SIN((PI()*H68)/$F$13))+$D$3*H68)</f>
        <v>10.2958310681373</v>
      </c>
      <c r="J68" s="31">
        <f t="shared" si="6"/>
        <v>1.02855991201975</v>
      </c>
      <c r="K68" s="31">
        <f t="shared" si="3"/>
        <v>40</v>
      </c>
      <c r="L68" s="31">
        <f>IF(K68=" "," ",($L$26-$D$3*$F$12)*((K68/$F$12)-($C$18/(PI()))*SIN((PI()*K68)/$F$12))+$D$3*K68)</f>
        <v>8.98526823109964</v>
      </c>
      <c r="M68" s="31">
        <f t="shared" si="7"/>
        <v>1.01440478474381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9.31771547493392</v>
      </c>
      <c r="C69" s="31">
        <f t="shared" si="4"/>
        <v>1.01193354017893</v>
      </c>
      <c r="D69" s="31">
        <f t="shared" si="1"/>
        <v>41</v>
      </c>
      <c r="E69" s="31">
        <f>IF(D69=" "," ",($E$26-$B$3*($F$8))*((D69/($F$8))-($C$18/(PI()))*SIN((PI()*D69)/($F$8)))+$B$3*D69)</f>
        <v>9.31771547493392</v>
      </c>
      <c r="F69" s="31">
        <f t="shared" si="5"/>
        <v>1.01193354017893</v>
      </c>
      <c r="G69" s="31"/>
      <c r="H69" s="31">
        <f t="shared" si="2"/>
        <v>41</v>
      </c>
      <c r="I69" s="31">
        <f>IF(H69=" "," ",($I$26-$D$3*$F$13)*((H69/$F$13)-($C$18/(PI()))*SIN((PI()*H69)/$F$13))+$D$3*H69)</f>
        <v>10.9197654946668</v>
      </c>
      <c r="J69" s="31">
        <f t="shared" si="6"/>
        <v>1.02661852865041</v>
      </c>
      <c r="K69" s="31">
        <f t="shared" si="3"/>
        <v>41</v>
      </c>
      <c r="L69" s="31">
        <f>IF(K69=" "," ",($L$26-$D$3*$F$12)*((K69/$F$12)-($C$18/(PI()))*SIN((PI()*K69)/$F$12))+$D$3*K69)</f>
        <v>9.46386418523008</v>
      </c>
      <c r="M69" s="31">
        <f t="shared" si="7"/>
        <v>1.01194081221435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9.79309177067417</v>
      </c>
      <c r="C70" s="31">
        <f t="shared" si="4"/>
        <v>1.00950394029668</v>
      </c>
      <c r="D70" s="31">
        <f t="shared" si="1"/>
        <v>42</v>
      </c>
      <c r="E70" s="31">
        <f>IF(D70=" "," ",($E$26-$B$3*($F$8))*((D70/($F$8))-($C$18/(PI()))*SIN((PI()*D70)/($F$8)))+$B$3*D70)</f>
        <v>9.79309177067417</v>
      </c>
      <c r="F70" s="31">
        <f t="shared" si="5"/>
        <v>1.00950394029668</v>
      </c>
      <c r="G70" s="31"/>
      <c r="H70" s="31">
        <f t="shared" si="2"/>
        <v>42</v>
      </c>
      <c r="I70" s="31">
        <f>IF(H70=" "," ",($I$26-$D$3*$F$13)*((H70/$F$13)-($C$18/(PI()))*SIN((PI()*H70)/$F$13))+$D$3*H70)</f>
        <v>11.559128687509</v>
      </c>
      <c r="J70" s="31">
        <f t="shared" si="6"/>
        <v>1.02472818561802</v>
      </c>
      <c r="K70" s="31">
        <f t="shared" si="3"/>
        <v>42</v>
      </c>
      <c r="L70" s="31">
        <f>IF(K70=" "," ",($L$26-$D$3*$F$12)*((K70/$F$12)-($C$18/(PI()))*SIN((PI()*K70)/$F$12))+$D$3*K70)</f>
        <v>9.94701142581215</v>
      </c>
      <c r="M70" s="31">
        <f t="shared" si="7"/>
        <v>1.0095096634486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10.2718438456568</v>
      </c>
      <c r="C71" s="31">
        <f t="shared" si="4"/>
        <v>1.00710127802466</v>
      </c>
      <c r="D71" s="31">
        <f t="shared" si="1"/>
        <v>43</v>
      </c>
      <c r="E71" s="31">
        <f>IF(D71=" "," ",($E$26-$B$3*($F$8))*((D71/($F$8))-($C$18/(PI()))*SIN((PI()*D71)/($F$8)))+$B$3*D71)</f>
        <v>10.2718438456568</v>
      </c>
      <c r="F71" s="31">
        <f t="shared" si="5"/>
        <v>1.00710127802466</v>
      </c>
      <c r="G71" s="31"/>
      <c r="H71" s="31">
        <f t="shared" si="2"/>
        <v>43</v>
      </c>
      <c r="I71" s="31">
        <f>IF(H71=" "," ",($I$26-$D$3*$F$13)*((H71/$F$13)-($C$18/(PI()))*SIN((PI()*H71)/$F$13))+$D$3*H71)</f>
        <v>12.2131232756758</v>
      </c>
      <c r="J71" s="31">
        <f t="shared" si="6"/>
        <v>1.02288432535423</v>
      </c>
      <c r="K71" s="31">
        <f t="shared" si="3"/>
        <v>43</v>
      </c>
      <c r="L71" s="31">
        <f>IF(K71=" "," ",($L$26-$D$3*$F$12)*((K71/$F$12)-($C$18/(PI()))*SIN((PI()*K71)/$F$12))+$D$3*K71)</f>
        <v>10.433591675896</v>
      </c>
      <c r="M71" s="31">
        <f t="shared" si="7"/>
        <v>1.00710551404082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10.7528556188001</v>
      </c>
      <c r="C72" s="31">
        <f t="shared" si="4"/>
        <v>1.00471997570085</v>
      </c>
      <c r="D72" s="31">
        <f t="shared" si="1"/>
        <v>44</v>
      </c>
      <c r="E72" s="31">
        <f>IF(D72=" "," ",($E$26-$B$3*($F$8))*((D72/($F$8))-($C$18/(PI()))*SIN((PI()*D72)/($F$8)))+$B$3*D72)</f>
        <v>10.7528556188001</v>
      </c>
      <c r="F72" s="31">
        <f t="shared" si="5"/>
        <v>1.00471997570085</v>
      </c>
      <c r="G72" s="31"/>
      <c r="H72" s="31">
        <f t="shared" si="2"/>
        <v>44</v>
      </c>
      <c r="I72" s="31">
        <f>IF(H72=" "," ",($I$26-$D$3*$F$13)*((H72/$F$13)-($C$18/(PI()))*SIN((PI()*H72)/$F$13))+$D$3*H72)</f>
        <v>12.8809058523961</v>
      </c>
      <c r="J72" s="31">
        <f t="shared" si="6"/>
        <v>1.02108272576419</v>
      </c>
      <c r="K72" s="31">
        <f t="shared" si="3"/>
        <v>44</v>
      </c>
      <c r="L72" s="31">
        <f>IF(K72=" "," ",($L$26-$D$3*$F$12)*((K72/$F$12)-($C$18/(PI()))*SIN((PI()*K72)/$F$12))+$D$3*K72)</f>
        <v>10.9224699332544</v>
      </c>
      <c r="M72" s="31">
        <f t="shared" si="7"/>
        <v>1.0047227713707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11.235</v>
      </c>
      <c r="C73" s="31">
        <f t="shared" si="4"/>
        <v>1.00235463687143</v>
      </c>
      <c r="D73" s="31">
        <f t="shared" si="1"/>
        <v>45</v>
      </c>
      <c r="E73" s="31">
        <f>IF(D73=" "," ",($E$26-$B$3*($F$8))*((D73/($F$8))-($C$18/(PI()))*SIN((PI()*D73)/($F$8)))+$B$3*D73)</f>
        <v>11.235</v>
      </c>
      <c r="F73" s="31">
        <f t="shared" si="5"/>
        <v>1.00235463687143</v>
      </c>
      <c r="G73" s="31"/>
      <c r="H73" s="31">
        <f t="shared" si="2"/>
        <v>45</v>
      </c>
      <c r="I73" s="31">
        <f>IF(H73=" "," ",($I$26-$D$3*$F$13)*((H73/$F$13)-($C$18/(PI()))*SIN((PI()*H73)/$F$13))+$D$3*H73)</f>
        <v>13.561589628786</v>
      </c>
      <c r="J73" s="31">
        <f t="shared" si="6"/>
        <v>1.0193194613327</v>
      </c>
      <c r="K73" s="31">
        <f t="shared" si="3"/>
        <v>45</v>
      </c>
      <c r="L73" s="31">
        <f>IF(K73=" "," ",($L$26-$D$3*$F$12)*((K73/$F$12)-($C$18/(PI()))*SIN((PI()*K73)/$F$12))+$D$3*K73)</f>
        <v>11.4125</v>
      </c>
      <c r="M73" s="31">
        <f t="shared" si="7"/>
        <v>1.00235602498121</v>
      </c>
    </row>
    <row r="74" spans="1:13">
      <c r="A74" s="31" t="str">
        <f t="shared" si="0"/>
        <v> </v>
      </c>
      <c r="B74" s="31" t="str">
        <f>IF(A74=" "," ",($B$26-$B$3*($F$9))*((A74/($F$9))-($C$18/(PI()))*SIN((PI()*A74)/($F$9)))+$B$3*A74)</f>
        <v> </v>
      </c>
      <c r="C74" s="31" t="str">
        <f t="shared" si="4"/>
        <v> </v>
      </c>
      <c r="D74" s="31" t="str">
        <f t="shared" si="1"/>
        <v> </v>
      </c>
      <c r="E74" s="31" t="str">
        <f>IF(D74=" "," ",($E$26-$B$3*($F$8))*((D74/($F$8))-($C$18/(PI()))*SIN((PI()*D74)/($F$8)))+$B$3*D74)</f>
        <v> </v>
      </c>
      <c r="F74" s="31" t="str">
        <f t="shared" si="5"/>
        <v> </v>
      </c>
      <c r="G74" s="31"/>
      <c r="H74" s="31">
        <f t="shared" si="2"/>
        <v>46</v>
      </c>
      <c r="I74" s="31">
        <f>IF(H74=" "," ",($I$26-$D$3*$F$13)*((H74/$F$13)-($C$18/(PI()))*SIN((PI()*H74)/$F$13))+$D$3*H74)</f>
        <v>14.2542472240143</v>
      </c>
      <c r="J74" s="31">
        <f t="shared" si="6"/>
        <v>1.01759086855565</v>
      </c>
      <c r="K74" s="31" t="str">
        <f t="shared" si="3"/>
        <v> </v>
      </c>
      <c r="L74" s="31" t="str">
        <f>IF(K74=" "," ",($L$26-$D$3*$F$12)*((K74/$F$12)-($C$18/(PI()))*SIN((PI()*K74)/$F$12))+$D$3*K74)</f>
        <v> </v>
      </c>
      <c r="M74" s="31" t="str">
        <f t="shared" si="7"/>
        <v> </v>
      </c>
    </row>
    <row r="75" spans="1:13">
      <c r="A75" s="31" t="str">
        <f t="shared" si="0"/>
        <v> </v>
      </c>
      <c r="B75" s="31" t="str">
        <f>IF(A75=" "," ",($B$26-$B$3*($F$9))*((A75/($F$9))-($C$18/(PI()))*SIN((PI()*A75)/($F$9)))+$B$3*A75)</f>
        <v> </v>
      </c>
      <c r="C75" s="31" t="str">
        <f t="shared" si="4"/>
        <v> </v>
      </c>
      <c r="D75" s="31" t="str">
        <f t="shared" si="1"/>
        <v> </v>
      </c>
      <c r="E75" s="31" t="str">
        <f>IF(D75=" "," ",($E$26-$B$3*($F$8))*((D75/($F$8))-($C$18/(PI()))*SIN((PI()*D75)/($F$8)))+$B$3*D75)</f>
        <v> </v>
      </c>
      <c r="F75" s="31" t="str">
        <f t="shared" si="5"/>
        <v> </v>
      </c>
      <c r="G75" s="31"/>
      <c r="H75" s="31">
        <f t="shared" si="2"/>
        <v>47</v>
      </c>
      <c r="I75" s="31">
        <f>IF(H75=" "," ",($I$26-$D$3*$F$13)*((H75/$F$13)-($C$18/(PI()))*SIN((PI()*H75)/$F$13))+$D$3*H75)</f>
        <v>14.9579135831861</v>
      </c>
      <c r="J75" s="31">
        <f t="shared" si="6"/>
        <v>1.01589351509201</v>
      </c>
      <c r="K75" s="31" t="str">
        <f t="shared" si="3"/>
        <v> </v>
      </c>
      <c r="L75" s="31" t="str">
        <f>IF(K75=" "," ",($L$26-$D$3*$F$12)*((K75/$F$12)-($C$18/(PI()))*SIN((PI()*K75)/$F$12))+$D$3*K75)</f>
        <v> </v>
      </c>
      <c r="M75" s="31" t="str">
        <f t="shared" si="7"/>
        <v> </v>
      </c>
    </row>
    <row r="76" spans="1:13">
      <c r="A76" s="31" t="str">
        <f t="shared" si="0"/>
        <v> </v>
      </c>
      <c r="B76" s="31" t="str">
        <f>IF(A76=" "," ",($B$26-$B$3*($F$9))*((A76/($F$9))-($C$18/(PI()))*SIN((PI()*A76)/($F$9)))+$B$3*A76)</f>
        <v> </v>
      </c>
      <c r="C76" s="31" t="str">
        <f t="shared" si="4"/>
        <v> </v>
      </c>
      <c r="D76" s="31" t="str">
        <f t="shared" si="1"/>
        <v> </v>
      </c>
      <c r="E76" s="31" t="str">
        <f>IF(D76=" "," ",($E$26-$B$3*($F$8))*((D76/($F$8))-($C$18/(PI()))*SIN((PI()*D76)/($F$8)))+$B$3*D76)</f>
        <v> </v>
      </c>
      <c r="F76" s="31" t="str">
        <f t="shared" si="5"/>
        <v> </v>
      </c>
      <c r="G76" s="31"/>
      <c r="H76" s="31">
        <f t="shared" si="2"/>
        <v>48</v>
      </c>
      <c r="I76" s="31">
        <f>IF(H76=" "," ",($I$26-$D$3*$F$13)*((H76/$F$13)-($C$18/(PI()))*SIN((PI()*H76)/$F$13))+$D$3*H76)</f>
        <v>15.6715890137618</v>
      </c>
      <c r="J76" s="31">
        <f t="shared" si="6"/>
        <v>1.0142241721145</v>
      </c>
      <c r="K76" s="31" t="str">
        <f t="shared" si="3"/>
        <v> </v>
      </c>
      <c r="L76" s="31" t="str">
        <f>IF(K76=" "," ",($L$26-$D$3*$F$12)*((K76/$F$12)-($C$18/(PI()))*SIN((PI()*K76)/$F$12))+$D$3*K76)</f>
        <v> </v>
      </c>
      <c r="M76" s="31" t="str">
        <f t="shared" si="7"/>
        <v> </v>
      </c>
    </row>
    <row r="77" spans="1:13">
      <c r="A77" s="31" t="str">
        <f t="shared" si="0"/>
        <v> </v>
      </c>
      <c r="B77" s="31" t="str">
        <f>IF(A77=" "," ",($B$26-$B$3*($F$9))*((A77/($F$9))-($C$18/(PI()))*SIN((PI()*A77)/($F$9)))+$B$3*A77)</f>
        <v> </v>
      </c>
      <c r="C77" s="31" t="str">
        <f t="shared" si="4"/>
        <v> </v>
      </c>
      <c r="D77" s="31" t="str">
        <f t="shared" si="1"/>
        <v> </v>
      </c>
      <c r="E77" s="31" t="str">
        <f>IF(D77=" "," ",($E$26-$B$3*($F$8))*((D77/($F$8))-($C$18/(PI()))*SIN((PI()*D77)/($F$8)))+$B$3*D77)</f>
        <v> </v>
      </c>
      <c r="F77" s="31" t="str">
        <f t="shared" si="5"/>
        <v> </v>
      </c>
      <c r="G77" s="31"/>
      <c r="H77" s="31">
        <f t="shared" si="2"/>
        <v>49</v>
      </c>
      <c r="I77" s="31">
        <f>IF(H77=" "," ",($I$26-$D$3*$F$13)*((H77/$F$13)-($C$18/(PI()))*SIN((PI()*H77)/$F$13))+$D$3*H77)</f>
        <v>16.3942423309606</v>
      </c>
      <c r="J77" s="31">
        <f t="shared" si="6"/>
        <v>1.0125797894091</v>
      </c>
      <c r="K77" s="31" t="str">
        <f t="shared" si="3"/>
        <v> </v>
      </c>
      <c r="L77" s="31" t="str">
        <f>IF(K77=" "," ",($L$26-$D$3*$F$12)*((K77/$F$12)-($C$18/(PI()))*SIN((PI()*K77)/$F$12))+$D$3*K77)</f>
        <v> </v>
      </c>
      <c r="M77" s="31" t="str">
        <f t="shared" si="7"/>
        <v> </v>
      </c>
    </row>
    <row r="78" spans="1:13">
      <c r="A78" s="31" t="str">
        <f t="shared" si="0"/>
        <v> </v>
      </c>
      <c r="B78" s="31" t="str">
        <f>IF(A78=" "," ",($B$26-$B$3*($F$9))*((A78/($F$9))-($C$18/(PI()))*SIN((PI()*A78)/($F$9)))+$B$3*A78)</f>
        <v> </v>
      </c>
      <c r="C78" s="31" t="str">
        <f t="shared" si="4"/>
        <v> </v>
      </c>
      <c r="D78" s="31" t="str">
        <f t="shared" si="1"/>
        <v> </v>
      </c>
      <c r="E78" s="31" t="str">
        <f>IF(D78=" "," ",($E$26-$B$3*($F$8))*((D78/($F$8))-($C$18/(PI()))*SIN((PI()*D78)/($F$8)))+$B$3*D78)</f>
        <v> </v>
      </c>
      <c r="F78" s="31" t="str">
        <f t="shared" si="5"/>
        <v> </v>
      </c>
      <c r="G78" s="31"/>
      <c r="H78" s="31">
        <f t="shared" si="2"/>
        <v>50</v>
      </c>
      <c r="I78" s="31">
        <f>IF(H78=" "," ",($I$26-$D$3*$F$13)*((H78/$F$13)-($C$18/(PI()))*SIN((PI()*H78)/$F$13))+$D$3*H78)</f>
        <v>17.1248141022488</v>
      </c>
      <c r="J78" s="31">
        <f t="shared" si="6"/>
        <v>1.01095747283086</v>
      </c>
      <c r="K78" s="31" t="str">
        <f t="shared" si="3"/>
        <v> </v>
      </c>
      <c r="L78" s="31" t="str">
        <f>IF(K78=" "," ",($L$26-$D$3*$F$12)*((K78/$F$12)-($C$18/(PI()))*SIN((PI()*K78)/$F$12))+$D$3*K78)</f>
        <v> </v>
      </c>
      <c r="M78" s="31" t="str">
        <f t="shared" si="7"/>
        <v> </v>
      </c>
    </row>
    <row r="79" spans="1:13">
      <c r="A79" s="31" t="str">
        <f t="shared" si="0"/>
        <v> </v>
      </c>
      <c r="B79" s="31" t="str">
        <f>IF(A79=" "," ",($B$26-$B$3*($F$9))*((A79/($F$9))-($C$18/(PI()))*SIN((PI()*A79)/($F$9)))+$B$3*A79)</f>
        <v> </v>
      </c>
      <c r="C79" s="31" t="str">
        <f t="shared" si="4"/>
        <v> </v>
      </c>
      <c r="D79" s="31" t="str">
        <f t="shared" si="1"/>
        <v> </v>
      </c>
      <c r="E79" s="31" t="str">
        <f>IF(D79=" "," ",($E$26-$B$3*($F$8))*((D79/($F$8))-($C$18/(PI()))*SIN((PI()*D79)/($F$8)))+$B$3*D79)</f>
        <v> </v>
      </c>
      <c r="F79" s="31" t="str">
        <f t="shared" si="5"/>
        <v> </v>
      </c>
      <c r="G79" s="31"/>
      <c r="H79" s="31">
        <f t="shared" si="2"/>
        <v>51</v>
      </c>
      <c r="I79" s="31">
        <f>IF(H79=" "," ",($I$26-$D$3*$F$13)*((H79/$F$13)-($C$18/(PI()))*SIN((PI()*H79)/$F$13))+$D$3*H79)</f>
        <v>17.8622199807065</v>
      </c>
      <c r="J79" s="31">
        <f t="shared" si="6"/>
        <v>1.00935446377487</v>
      </c>
      <c r="K79" s="31" t="str">
        <f t="shared" si="3"/>
        <v> </v>
      </c>
      <c r="L79" s="31" t="str">
        <f>IF(K79=" "," ",($L$26-$D$3*$F$12)*((K79/$F$12)-($C$18/(PI()))*SIN((PI()*K79)/$F$12))+$D$3*K79)</f>
        <v> </v>
      </c>
      <c r="M79" s="31" t="str">
        <f t="shared" si="7"/>
        <v> </v>
      </c>
    </row>
    <row r="80" spans="1:13">
      <c r="A80" s="31" t="str">
        <f t="shared" si="0"/>
        <v> </v>
      </c>
      <c r="B80" s="31" t="str">
        <f>IF(A80=" "," ",($B$26-$B$3*($F$9))*((A80/($F$9))-($C$18/(PI()))*SIN((PI()*A80)/($F$9)))+$B$3*A80)</f>
        <v> </v>
      </c>
      <c r="C80" s="31" t="str">
        <f t="shared" si="4"/>
        <v> </v>
      </c>
      <c r="D80" s="31" t="str">
        <f t="shared" si="1"/>
        <v> </v>
      </c>
      <c r="E80" s="31" t="str">
        <f>IF(D80=" "," ",($E$26-$B$3*($F$8))*((D80/($F$8))-($C$18/(PI()))*SIN((PI()*D80)/($F$8)))+$B$3*D80)</f>
        <v> </v>
      </c>
      <c r="F80" s="31" t="str">
        <f t="shared" si="5"/>
        <v> </v>
      </c>
      <c r="G80" s="31"/>
      <c r="H80" s="31">
        <f t="shared" si="2"/>
        <v>52</v>
      </c>
      <c r="I80" s="31">
        <f>IF(H80=" "," ",($I$26-$D$3*$F$13)*((H80/$F$13)-($C$18/(PI()))*SIN((PI()*H80)/$F$13))+$D$3*H80)</f>
        <v>18.6053541167842</v>
      </c>
      <c r="J80" s="31">
        <f t="shared" si="6"/>
        <v>1.00776812036275</v>
      </c>
      <c r="K80" s="31" t="str">
        <f t="shared" si="3"/>
        <v> </v>
      </c>
      <c r="L80" s="31" t="str">
        <f>IF(K80=" "," ",($L$26-$D$3*$F$12)*((K80/$F$12)-($C$18/(PI()))*SIN((PI()*K80)/$F$12))+$D$3*K80)</f>
        <v> </v>
      </c>
      <c r="M80" s="31" t="str">
        <f t="shared" si="7"/>
        <v> </v>
      </c>
    </row>
    <row r="81" spans="1:13">
      <c r="A81" s="31" t="str">
        <f t="shared" si="0"/>
        <v> </v>
      </c>
      <c r="B81" s="31" t="str">
        <f>IF(A81=" "," ",($B$26-$B$3*($F$9))*((A81/($F$9))-($C$18/(PI()))*SIN((PI()*A81)/($F$9)))+$B$3*A81)</f>
        <v> </v>
      </c>
      <c r="C81" s="31" t="str">
        <f t="shared" si="4"/>
        <v> </v>
      </c>
      <c r="D81" s="31" t="str">
        <f t="shared" si="1"/>
        <v> </v>
      </c>
      <c r="E81" s="31" t="str">
        <f>IF(D81=" "," ",($E$26-$B$3*($F$8))*((D81/($F$8))-($C$18/(PI()))*SIN((PI()*D81)/($F$8)))+$B$3*D81)</f>
        <v> </v>
      </c>
      <c r="F81" s="31" t="str">
        <f t="shared" si="5"/>
        <v> </v>
      </c>
      <c r="G81" s="31"/>
      <c r="H81" s="31">
        <f t="shared" si="2"/>
        <v>53</v>
      </c>
      <c r="I81" s="31">
        <f>IF(H81=" "," ",($I$26-$D$3*$F$13)*((H81/$F$13)-($C$18/(PI()))*SIN((PI()*H81)/$F$13))+$D$3*H81)</f>
        <v>19.3530926377148</v>
      </c>
      <c r="J81" s="31">
        <f t="shared" si="6"/>
        <v>1.00619590007965</v>
      </c>
      <c r="K81" s="31" t="str">
        <f t="shared" si="3"/>
        <v> </v>
      </c>
      <c r="L81" s="31" t="str">
        <f>IF(K81=" "," ",($L$26-$D$3*$F$12)*((K81/$F$12)-($C$18/(PI()))*SIN((PI()*K81)/$F$12))+$D$3*K81)</f>
        <v> </v>
      </c>
      <c r="M81" s="31" t="str">
        <f t="shared" si="7"/>
        <v> </v>
      </c>
    </row>
    <row r="82" spans="1:13">
      <c r="A82" s="31" t="str">
        <f t="shared" si="0"/>
        <v> </v>
      </c>
      <c r="B82" s="31" t="str">
        <f>IF(A82=" "," ",($B$26-$B$3*($F$9))*((A82/($F$9))-($C$18/(PI()))*SIN((PI()*A82)/($F$9)))+$B$3*A82)</f>
        <v> </v>
      </c>
      <c r="C82" s="31" t="str">
        <f t="shared" si="4"/>
        <v> </v>
      </c>
      <c r="D82" s="31" t="str">
        <f t="shared" si="1"/>
        <v> </v>
      </c>
      <c r="E82" s="31" t="str">
        <f>IF(D82=" "," ",($E$26-$B$3*($F$8))*((D82/($F$8))-($C$18/(PI()))*SIN((PI()*D82)/($F$8)))+$B$3*D82)</f>
        <v> </v>
      </c>
      <c r="F82" s="31" t="str">
        <f t="shared" si="5"/>
        <v> </v>
      </c>
      <c r="G82" s="31"/>
      <c r="H82" s="31">
        <f t="shared" si="2"/>
        <v>54</v>
      </c>
      <c r="I82" s="31">
        <f>IF(H82=" "," ",($I$26-$D$3*$F$13)*((H82/$F$13)-($C$18/(PI()))*SIN((PI()*H82)/$F$13))+$D$3*H82)</f>
        <v>20.104297183633</v>
      </c>
      <c r="J82" s="31">
        <f t="shared" si="6"/>
        <v>1.00463534362693</v>
      </c>
      <c r="K82" s="31" t="str">
        <f t="shared" si="3"/>
        <v> </v>
      </c>
      <c r="L82" s="31" t="str">
        <f>IF(K82=" "," ",($L$26-$D$3*$F$12)*((K82/$F$12)-($C$18/(PI()))*SIN((PI()*K82)/$F$12))+$D$3*K82)</f>
        <v> </v>
      </c>
      <c r="M82" s="31" t="str">
        <f t="shared" si="7"/>
        <v> </v>
      </c>
    </row>
    <row r="83" spans="1:13">
      <c r="A83" s="31" t="str">
        <f t="shared" si="0"/>
        <v> </v>
      </c>
      <c r="B83" s="31" t="str">
        <f>IF(A83=" "," ",($B$26-$B$3*($F$9))*((A83/($F$9))-($C$18/(PI()))*SIN((PI()*A83)/($F$9)))+$B$3*A83)</f>
        <v> </v>
      </c>
      <c r="C83" s="31" t="str">
        <f t="shared" si="4"/>
        <v> </v>
      </c>
      <c r="D83" s="31" t="str">
        <f t="shared" si="1"/>
        <v> </v>
      </c>
      <c r="E83" s="31" t="str">
        <f>IF(D83=" "," ",($E$26-$B$3*($F$8))*((D83/($F$8))-($C$18/(PI()))*SIN((PI()*D83)/($F$8)))+$B$3*D83)</f>
        <v> </v>
      </c>
      <c r="F83" s="31" t="str">
        <f t="shared" si="5"/>
        <v> </v>
      </c>
      <c r="G83" s="31"/>
      <c r="H83" s="31">
        <f t="shared" si="2"/>
        <v>55</v>
      </c>
      <c r="I83" s="31">
        <f>IF(H83=" "," ",($I$26-$D$3*$F$13)*((H83/$F$13)-($C$18/(PI()))*SIN((PI()*H83)/$F$13))+$D$3*H83)</f>
        <v>20.8578184892765</v>
      </c>
      <c r="J83" s="31">
        <f t="shared" si="6"/>
        <v>1.0030840597783</v>
      </c>
      <c r="K83" s="31" t="str">
        <f t="shared" si="3"/>
        <v> </v>
      </c>
      <c r="L83" s="31" t="str">
        <f>IF(K83=" "," ",($L$26-$D$3*$F$12)*((K83/$F$12)-($C$18/(PI()))*SIN((PI()*K83)/$F$12))+$D$3*K83)</f>
        <v> </v>
      </c>
      <c r="M83" s="31" t="str">
        <f t="shared" si="7"/>
        <v> </v>
      </c>
    </row>
    <row r="84" spans="1:13">
      <c r="A84" s="31" t="str">
        <f t="shared" si="0"/>
        <v> </v>
      </c>
      <c r="B84" s="31" t="str">
        <f>IF(A84=" "," ",($B$26-$B$3*($F$9))*((A84/($F$9))-($C$18/(PI()))*SIN((PI()*A84)/($F$9)))+$B$3*A84)</f>
        <v> </v>
      </c>
      <c r="C84" s="31" t="str">
        <f t="shared" si="4"/>
        <v> </v>
      </c>
      <c r="D84" s="31" t="str">
        <f t="shared" si="1"/>
        <v> </v>
      </c>
      <c r="E84" s="31" t="str">
        <f>IF(D84=" "," ",($E$26-$B$3*($F$8))*((D84/($F$8))-($C$18/(PI()))*SIN((PI()*D84)/($F$8)))+$B$3*D84)</f>
        <v> </v>
      </c>
      <c r="F84" s="31" t="str">
        <f t="shared" si="5"/>
        <v> </v>
      </c>
      <c r="G84" s="31"/>
      <c r="H84" s="31">
        <f t="shared" si="2"/>
        <v>56</v>
      </c>
      <c r="I84" s="31">
        <f>IF(H84=" "," ",($I$26-$D$3*$F$13)*((H84/$F$13)-($C$18/(PI()))*SIN((PI()*H84)/$F$13))+$D$3*H84)</f>
        <v>21.6125</v>
      </c>
      <c r="J84" s="31">
        <f t="shared" si="6"/>
        <v>1.00153971104891</v>
      </c>
      <c r="K84" s="31" t="str">
        <f t="shared" si="3"/>
        <v> </v>
      </c>
      <c r="L84" s="31" t="str">
        <f>IF(K84=" "," ",($L$26-$D$3*$F$12)*((K84/$F$12)-($C$18/(PI()))*SIN((PI()*K84)/$F$12))+$D$3*K84)</f>
        <v> </v>
      </c>
      <c r="M84" s="31" t="str">
        <f t="shared" si="7"/>
        <v> </v>
      </c>
    </row>
    <row r="85" spans="1:13">
      <c r="A85" s="31" t="str">
        <f t="shared" si="0"/>
        <v> </v>
      </c>
      <c r="B85" s="31" t="str">
        <f>IF(A85=" "," ",($B$26-$B$3*($F$9))*((A85/($F$9))-($C$18/(PI()))*SIN((PI()*A85)/($F$9)))+$B$3*A85)</f>
        <v> </v>
      </c>
      <c r="C85" s="31" t="str">
        <f t="shared" si="4"/>
        <v> </v>
      </c>
      <c r="D85" s="31" t="str">
        <f t="shared" si="1"/>
        <v> </v>
      </c>
      <c r="E85" s="31" t="str">
        <f>IF(D85=" "," ",($E$26-$B$3*($F$8))*((D85/($F$8))-($C$18/(PI()))*SIN((PI()*D85)/($F$8)))+$B$3*D85)</f>
        <v> </v>
      </c>
      <c r="F85" s="31" t="str">
        <f t="shared" si="5"/>
        <v> </v>
      </c>
      <c r="G85" s="31"/>
      <c r="H85" s="31" t="str">
        <f t="shared" si="2"/>
        <v> </v>
      </c>
      <c r="I85" s="31" t="str">
        <f>IF(H85=" "," ",($I$26-$D$3*$F$13)*((H85/$F$13)-($C$18/(PI()))*SIN((PI()*H85)/$F$13))+$D$3*H85)</f>
        <v> </v>
      </c>
      <c r="J85" s="31" t="str">
        <f t="shared" si="6"/>
        <v> </v>
      </c>
      <c r="K85" s="31" t="str">
        <f t="shared" si="3"/>
        <v> </v>
      </c>
      <c r="L85" s="31" t="str">
        <f>IF(K85=" "," ",($L$26-$D$3*$F$12)*((K85/$F$12)-($C$18/(PI()))*SIN((PI()*K85)/$F$12))+$D$3*K85)</f>
        <v> </v>
      </c>
      <c r="M85" s="31" t="str">
        <f t="shared" si="7"/>
        <v> </v>
      </c>
    </row>
    <row r="86" spans="1:13">
      <c r="A86" s="31" t="str">
        <f t="shared" si="0"/>
        <v> </v>
      </c>
      <c r="B86" s="31" t="str">
        <f>IF(A86=" "," ",($B$26-$B$3*($F$9))*((A86/($F$9))-($C$18/(PI()))*SIN((PI()*A86)/($F$9)))+$B$3*A86)</f>
        <v> </v>
      </c>
      <c r="C86" s="31" t="str">
        <f t="shared" si="4"/>
        <v> </v>
      </c>
      <c r="D86" s="31" t="str">
        <f t="shared" si="1"/>
        <v> </v>
      </c>
      <c r="E86" s="31" t="str">
        <f>IF(D86=" "," ",($E$26-$B$3*($F$8))*((D86/($F$8))-($C$18/(PI()))*SIN((PI()*D86)/($F$8)))+$B$3*D86)</f>
        <v> </v>
      </c>
      <c r="F86" s="31" t="str">
        <f t="shared" si="5"/>
        <v> </v>
      </c>
      <c r="G86" s="31"/>
      <c r="H86" s="31" t="str">
        <f t="shared" si="2"/>
        <v> </v>
      </c>
      <c r="I86" s="31" t="str">
        <f>IF(H86=" "," ",($I$26-$D$3*$F$13)*((H86/$F$13)-($C$18/(PI()))*SIN((PI()*H86)/$F$13))+$D$3*H86)</f>
        <v> </v>
      </c>
      <c r="J86" s="31" t="str">
        <f t="shared" si="6"/>
        <v> </v>
      </c>
      <c r="K86" s="31" t="str">
        <f t="shared" si="3"/>
        <v> </v>
      </c>
      <c r="L86" s="31" t="str">
        <f>IF(K86=" "," ",($L$26-$D$3*$F$12)*((K86/$F$12)-($C$18/(PI()))*SIN((PI()*K86)/$F$12))+$D$3*K86)</f>
        <v> </v>
      </c>
      <c r="M86" s="31" t="str">
        <f t="shared" si="7"/>
        <v> </v>
      </c>
    </row>
    <row r="87" spans="1:13">
      <c r="A87" s="31" t="str">
        <f t="shared" si="0"/>
        <v> </v>
      </c>
      <c r="B87" s="31" t="str">
        <f>IF(A87=" "," ",($B$26-$B$3*($F$9))*((A87/($F$9))-($C$18/(PI()))*SIN((PI()*A87)/($F$9)))+$B$3*A87)</f>
        <v> </v>
      </c>
      <c r="C87" s="31" t="str">
        <f t="shared" si="4"/>
        <v> </v>
      </c>
      <c r="D87" s="31" t="str">
        <f t="shared" si="1"/>
        <v> </v>
      </c>
      <c r="E87" s="31" t="str">
        <f>IF(D87=" "," ",($E$26-$B$3*($F$8))*((D87/($F$8))-($C$18/(PI()))*SIN((PI()*D87)/($F$8)))+$B$3*D87)</f>
        <v> </v>
      </c>
      <c r="F87" s="31" t="str">
        <f t="shared" si="5"/>
        <v> </v>
      </c>
      <c r="G87" s="31"/>
      <c r="H87" s="31" t="str">
        <f t="shared" si="2"/>
        <v> </v>
      </c>
      <c r="I87" s="31" t="str">
        <f>IF(H87=" "," ",($I$26-$D$3*$F$13)*((H87/$F$13)-($C$18/(PI()))*SIN((PI()*H87)/$F$13))+$D$3*H87)</f>
        <v> </v>
      </c>
      <c r="J87" s="31" t="str">
        <f t="shared" si="6"/>
        <v> </v>
      </c>
      <c r="K87" s="31" t="str">
        <f t="shared" si="3"/>
        <v> </v>
      </c>
      <c r="L87" s="31" t="str">
        <f>IF(K87=" "," ",($L$26-$D$3*$F$12)*((K87/$F$12)-($C$18/(PI()))*SIN((PI()*K87)/$F$12))+$D$3*K87)</f>
        <v> </v>
      </c>
      <c r="M87" s="31" t="str">
        <f t="shared" si="7"/>
        <v> </v>
      </c>
    </row>
    <row r="88" spans="1:13">
      <c r="A88" s="31" t="str">
        <f t="shared" si="0"/>
        <v> </v>
      </c>
      <c r="B88" s="31" t="str">
        <f>IF(A88=" "," ",($B$26-$B$3*($F$9))*((A88/($F$9))-($C$18/(PI()))*SIN((PI()*A88)/($F$9)))+$B$3*A88)</f>
        <v> </v>
      </c>
      <c r="C88" s="31" t="str">
        <f t="shared" si="4"/>
        <v> </v>
      </c>
      <c r="D88" s="31" t="str">
        <f t="shared" si="1"/>
        <v> </v>
      </c>
      <c r="E88" s="31" t="str">
        <f>IF(D88=" "," ",($E$26-$B$3*($F$8))*((D88/($F$8))-($C$18/(PI()))*SIN((PI()*D88)/($F$8)))+$B$3*D88)</f>
        <v> </v>
      </c>
      <c r="F88" s="31" t="str">
        <f t="shared" si="5"/>
        <v> </v>
      </c>
      <c r="G88" s="31"/>
      <c r="H88" s="31" t="str">
        <f t="shared" si="2"/>
        <v> </v>
      </c>
      <c r="I88" s="31" t="str">
        <f>IF(H88=" "," ",($I$26-$D$3*$F$13)*((H88/$F$13)-($C$18/(PI()))*SIN((PI()*H88)/$F$13))+$D$3*H88)</f>
        <v> </v>
      </c>
      <c r="J88" s="31" t="str">
        <f t="shared" si="6"/>
        <v> </v>
      </c>
      <c r="K88" s="31" t="str">
        <f t="shared" si="3"/>
        <v> </v>
      </c>
      <c r="L88" s="31" t="str">
        <f>IF(K88=" "," ",($L$26-$D$3*$F$12)*((K88/$F$12)-($C$18/(PI()))*SIN((PI()*K88)/$F$12))+$D$3*K88)</f>
        <v> </v>
      </c>
      <c r="M88" s="31" t="str">
        <f t="shared" si="7"/>
        <v> </v>
      </c>
    </row>
    <row r="89" spans="1:13">
      <c r="A89" s="31" t="str">
        <f t="shared" si="0"/>
        <v> </v>
      </c>
      <c r="B89" s="31" t="str">
        <f>IF(A89=" "," ",($B$26-$B$3*($F$9))*((A89/($F$9))-($C$18/(PI()))*SIN((PI()*A89)/($F$9)))+$B$3*A89)</f>
        <v> </v>
      </c>
      <c r="C89" s="31" t="str">
        <f t="shared" si="4"/>
        <v> </v>
      </c>
      <c r="D89" s="31" t="str">
        <f t="shared" si="1"/>
        <v> </v>
      </c>
      <c r="E89" s="31" t="str">
        <f>IF(D89=" "," ",($E$26-$B$3*($F$8))*((D89/($F$8))-($C$18/(PI()))*SIN((PI()*D89)/($F$8)))+$B$3*D89)</f>
        <v> </v>
      </c>
      <c r="F89" s="31" t="str">
        <f t="shared" si="5"/>
        <v> </v>
      </c>
      <c r="G89" s="31"/>
      <c r="H89" s="31" t="str">
        <f t="shared" si="2"/>
        <v> </v>
      </c>
      <c r="I89" s="31" t="str">
        <f>IF(H89=" "," ",($I$26-$D$3*$F$13)*((H89/$F$13)-($C$18/(PI()))*SIN((PI()*H89)/$F$13))+$D$3*H89)</f>
        <v> </v>
      </c>
      <c r="J89" s="31" t="str">
        <f t="shared" si="6"/>
        <v> </v>
      </c>
      <c r="K89" s="31" t="str">
        <f t="shared" si="3"/>
        <v> </v>
      </c>
      <c r="L89" s="31" t="str">
        <f>IF(K89=" "," ",($L$26-$D$3*$F$12)*((K89/$F$12)-($C$18/(PI()))*SIN((PI()*K89)/$F$12))+$D$3*K89)</f>
        <v> </v>
      </c>
      <c r="M89" s="31" t="str">
        <f t="shared" si="7"/>
        <v> </v>
      </c>
    </row>
    <row r="90" spans="1:13">
      <c r="A90" s="31" t="str">
        <f t="shared" si="0"/>
        <v> </v>
      </c>
      <c r="B90" s="31" t="str">
        <f>IF(A90=" "," ",($B$26-$B$3*($F$9))*((A90/($F$9))-($C$18/(PI()))*SIN((PI()*A90)/($F$9)))+$B$3*A90)</f>
        <v> </v>
      </c>
      <c r="C90" s="31" t="str">
        <f t="shared" si="4"/>
        <v> </v>
      </c>
      <c r="D90" s="31" t="str">
        <f t="shared" si="1"/>
        <v> </v>
      </c>
      <c r="E90" s="31" t="str">
        <f>IF(D90=" "," ",($E$26-$B$3*($F$8))*((D90/($F$8))-($C$18/(PI()))*SIN((PI()*D90)/($F$8)))+$B$3*D90)</f>
        <v> </v>
      </c>
      <c r="F90" s="31" t="str">
        <f t="shared" si="5"/>
        <v> </v>
      </c>
      <c r="G90" s="31"/>
      <c r="H90" s="31" t="str">
        <f t="shared" si="2"/>
        <v> </v>
      </c>
      <c r="I90" s="31" t="str">
        <f>IF(H90=" "," ",($I$26-$D$3*$F$13)*((H90/$F$13)-($C$18/(PI()))*SIN((PI()*H90)/$F$13))+$D$3*H90)</f>
        <v> </v>
      </c>
      <c r="J90" s="31" t="str">
        <f t="shared" si="6"/>
        <v> </v>
      </c>
      <c r="K90" s="31" t="str">
        <f t="shared" si="3"/>
        <v> </v>
      </c>
      <c r="L90" s="31" t="str">
        <f>IF(K90=" "," ",($L$26-$D$3*$F$12)*((K90/$F$12)-($C$18/(PI()))*SIN((PI()*K90)/$F$12))+$D$3*K90)</f>
        <v> </v>
      </c>
      <c r="M90" s="31" t="str">
        <f t="shared" si="7"/>
        <v> </v>
      </c>
    </row>
    <row r="91" spans="1:13">
      <c r="A91" s="31" t="str">
        <f t="shared" si="0"/>
        <v> </v>
      </c>
      <c r="B91" s="31" t="str">
        <f>IF(A91=" "," ",($B$26-$B$3*($F$9))*((A91/($F$9))-($C$18/(PI()))*SIN((PI()*A91)/($F$9)))+$B$3*A91)</f>
        <v> </v>
      </c>
      <c r="C91" s="31" t="str">
        <f t="shared" si="4"/>
        <v> </v>
      </c>
      <c r="D91" s="31" t="str">
        <f t="shared" si="1"/>
        <v> </v>
      </c>
      <c r="E91" s="31" t="str">
        <f>IF(D91=" "," ",($E$26-$B$3*($F$8))*((D91/($F$8))-($C$18/(PI()))*SIN((PI()*D91)/($F$8)))+$B$3*D91)</f>
        <v> </v>
      </c>
      <c r="F91" s="31" t="str">
        <f t="shared" si="5"/>
        <v> </v>
      </c>
      <c r="G91" s="31"/>
      <c r="H91" s="31" t="str">
        <f t="shared" si="2"/>
        <v> </v>
      </c>
      <c r="I91" s="31" t="str">
        <f>IF(H91=" "," ",($I$26-$D$3*$F$13)*((H91/$F$13)-($C$18/(PI()))*SIN((PI()*H91)/$F$13))+$D$3*H91)</f>
        <v> </v>
      </c>
      <c r="J91" s="31" t="str">
        <f t="shared" si="6"/>
        <v> </v>
      </c>
      <c r="K91" s="31" t="str">
        <f t="shared" si="3"/>
        <v> </v>
      </c>
      <c r="L91" s="31" t="str">
        <f>IF(K91=" "," ",($L$26-$D$3*$F$12)*((K91/$F$12)-($C$18/(PI()))*SIN((PI()*K91)/$F$12))+$D$3*K91)</f>
        <v> </v>
      </c>
      <c r="M91" s="31" t="str">
        <f t="shared" si="7"/>
        <v> </v>
      </c>
    </row>
    <row r="92" spans="1:13">
      <c r="A92" s="31" t="str">
        <f t="shared" si="0"/>
        <v> </v>
      </c>
      <c r="B92" s="31" t="str">
        <f>IF(A92=" "," ",($B$26-$B$3*($F$9))*((A92/($F$9))-($C$18/(PI()))*SIN((PI()*A92)/($F$9)))+$B$3*A92)</f>
        <v> </v>
      </c>
      <c r="C92" s="31" t="str">
        <f t="shared" si="4"/>
        <v> </v>
      </c>
      <c r="D92" s="31" t="str">
        <f t="shared" si="1"/>
        <v> </v>
      </c>
      <c r="E92" s="31" t="str">
        <f>IF(D92=" "," ",($E$26-$B$3*($F$8))*((D92/($F$8))-($C$18/(PI()))*SIN((PI()*D92)/($F$8)))+$B$3*D92)</f>
        <v> </v>
      </c>
      <c r="F92" s="31" t="str">
        <f t="shared" si="5"/>
        <v> </v>
      </c>
      <c r="G92" s="31"/>
      <c r="H92" s="31" t="str">
        <f t="shared" si="2"/>
        <v> </v>
      </c>
      <c r="I92" s="31" t="str">
        <f>IF(H92=" "," ",($I$26-$D$3*$F$13)*((H92/$F$13)-($C$18/(PI()))*SIN((PI()*H92)/$F$13))+$D$3*H92)</f>
        <v> </v>
      </c>
      <c r="J92" s="31" t="str">
        <f t="shared" si="6"/>
        <v> </v>
      </c>
      <c r="K92" s="31" t="str">
        <f t="shared" si="3"/>
        <v> </v>
      </c>
      <c r="L92" s="31" t="str">
        <f>IF(K92=" "," ",($L$26-$D$3*$F$12)*((K92/$F$12)-($C$18/(PI()))*SIN((PI()*K92)/$F$12))+$D$3*K92)</f>
        <v> </v>
      </c>
      <c r="M92" s="31" t="str">
        <f t="shared" si="7"/>
        <v> </v>
      </c>
    </row>
    <row r="93" spans="1:13">
      <c r="A93" s="31" t="str">
        <f t="shared" ref="A93:A156" si="8">IF(($F$9)-ROW(A65)&gt;=0,($F$9)-(($F$9)-ROW(A65))," ")</f>
        <v> </v>
      </c>
      <c r="B93" s="31" t="str">
        <f>IF(A93=" "," ",($B$26-$B$3*($F$9))*((A93/($F$9))-($C$18/(PI()))*SIN((PI()*A93)/($F$9)))+$B$3*A93)</f>
        <v> </v>
      </c>
      <c r="C93" s="31" t="str">
        <f t="shared" si="4"/>
        <v> </v>
      </c>
      <c r="D93" s="31" t="str">
        <f t="shared" ref="D93:D156" si="9">IF(($F$8)-ROW(D65)&gt;=0,($F$8)-(($F$8)-ROW(D65))," ")</f>
        <v> </v>
      </c>
      <c r="E93" s="31" t="str">
        <f>IF(D93=" "," ",($E$26-$B$3*($F$8))*((D93/($F$8))-($C$18/(PI()))*SIN((PI()*D93)/($F$8)))+$B$3*D93)</f>
        <v> </v>
      </c>
      <c r="F93" s="31" t="str">
        <f t="shared" si="5"/>
        <v> </v>
      </c>
      <c r="G93" s="31"/>
      <c r="H93" s="31" t="str">
        <f t="shared" ref="H93:H156" si="10">IF($F$13-ROW(H65)&gt;=0,$F$13-($F$13-ROW(H65))," ")</f>
        <v> </v>
      </c>
      <c r="I93" s="31" t="str">
        <f>IF(H93=" "," ",($I$26-$D$3*$F$13)*((H93/$F$13)-($C$18/(PI()))*SIN((PI()*H93)/$F$13))+$D$3*H93)</f>
        <v> </v>
      </c>
      <c r="J93" s="31" t="str">
        <f t="shared" si="6"/>
        <v> </v>
      </c>
      <c r="K93" s="31" t="str">
        <f t="shared" ref="K93:K156" si="11">IF($F$12-ROW(K65)&gt;=0,$F$12-($F$12-ROW(K65))," ")</f>
        <v> </v>
      </c>
      <c r="L93" s="31" t="str">
        <f>IF(K93=" "," ",($L$26-$D$3*$F$12)*((K93/$F$12)-($C$18/(PI()))*SIN((PI()*K93)/$F$12))+$D$3*K93)</f>
        <v> </v>
      </c>
      <c r="M93" s="31" t="str">
        <f t="shared" si="7"/>
        <v> </v>
      </c>
    </row>
    <row r="94" spans="1:13">
      <c r="A94" s="31" t="str">
        <f t="shared" si="8"/>
        <v> </v>
      </c>
      <c r="B94" s="31" t="str">
        <f>IF(A94=" "," ",($B$26-$B$3*($F$9))*((A94/($F$9))-($C$18/(PI()))*SIN((PI()*A94)/($F$9)))+$B$3*A94)</f>
        <v> </v>
      </c>
      <c r="C94" s="31" t="str">
        <f t="shared" ref="C94:C157" si="12">IF(A94=" "," ",(B94-B93)/(B93-B92))</f>
        <v> </v>
      </c>
      <c r="D94" s="31" t="str">
        <f t="shared" si="9"/>
        <v> </v>
      </c>
      <c r="E94" s="31" t="str">
        <f>IF(D94=" "," ",($E$26-$B$3*($F$8))*((D94/($F$8))-($C$18/(PI()))*SIN((PI()*D94)/($F$8)))+$B$3*D94)</f>
        <v> </v>
      </c>
      <c r="F94" s="31" t="str">
        <f t="shared" ref="F94:F157" si="13">IF(D94=" "," ",(E94-E93)/(E93-E92))</f>
        <v> </v>
      </c>
      <c r="G94" s="31"/>
      <c r="H94" s="31" t="str">
        <f t="shared" si="10"/>
        <v> </v>
      </c>
      <c r="I94" s="31" t="str">
        <f>IF(H94=" "," ",($I$26-$D$3*$F$13)*((H94/$F$13)-($C$18/(PI()))*SIN((PI()*H94)/$F$13))+$D$3*H94)</f>
        <v> </v>
      </c>
      <c r="J94" s="31" t="str">
        <f t="shared" ref="J94:J157" si="14">IF(H94=" "," ",(I94-I93)/(I93-I92))</f>
        <v> </v>
      </c>
      <c r="K94" s="31" t="str">
        <f t="shared" si="11"/>
        <v> </v>
      </c>
      <c r="L94" s="31" t="str">
        <f>IF(K94=" "," ",($L$26-$D$3*$F$12)*((K94/$F$12)-($C$18/(PI()))*SIN((PI()*K94)/$F$12))+$D$3*K94)</f>
        <v> </v>
      </c>
      <c r="M94" s="31" t="str">
        <f t="shared" ref="M94:M157" si="15">IF(K94=" "," ",(L94-L93)/(L93-L92))</f>
        <v> </v>
      </c>
    </row>
    <row r="95" spans="1:13">
      <c r="A95" s="31" t="str">
        <f t="shared" si="8"/>
        <v> </v>
      </c>
      <c r="B95" s="31" t="str">
        <f>IF(A95=" "," ",($B$26-$B$3*($F$9))*((A95/($F$9))-($C$18/(PI()))*SIN((PI()*A95)/($F$9)))+$B$3*A95)</f>
        <v> </v>
      </c>
      <c r="C95" s="31" t="str">
        <f t="shared" si="12"/>
        <v> </v>
      </c>
      <c r="D95" s="31" t="str">
        <f t="shared" si="9"/>
        <v> </v>
      </c>
      <c r="E95" s="31" t="str">
        <f>IF(D95=" "," ",($E$26-$B$3*($F$8))*((D95/($F$8))-($C$18/(PI()))*SIN((PI()*D95)/($F$8)))+$B$3*D95)</f>
        <v> </v>
      </c>
      <c r="F95" s="31" t="str">
        <f t="shared" si="13"/>
        <v> </v>
      </c>
      <c r="G95" s="31"/>
      <c r="H95" s="31" t="str">
        <f t="shared" si="10"/>
        <v> </v>
      </c>
      <c r="I95" s="31" t="str">
        <f>IF(H95=" "," ",($I$26-$D$3*$F$13)*((H95/$F$13)-($C$18/(PI()))*SIN((PI()*H95)/$F$13))+$D$3*H95)</f>
        <v> </v>
      </c>
      <c r="J95" s="31" t="str">
        <f t="shared" si="14"/>
        <v> </v>
      </c>
      <c r="K95" s="31" t="str">
        <f t="shared" si="11"/>
        <v> </v>
      </c>
      <c r="L95" s="31" t="str">
        <f>IF(K95=" "," ",($L$26-$D$3*$F$12)*((K95/$F$12)-($C$18/(PI()))*SIN((PI()*K95)/$F$12))+$D$3*K95)</f>
        <v> </v>
      </c>
      <c r="M95" s="31" t="str">
        <f t="shared" si="15"/>
        <v> </v>
      </c>
    </row>
    <row r="96" spans="1:13">
      <c r="A96" s="31" t="str">
        <f t="shared" si="8"/>
        <v> </v>
      </c>
      <c r="B96" s="31" t="str">
        <f>IF(A96=" "," ",($B$26-$B$3*($F$9))*((A96/($F$9))-($C$18/(PI()))*SIN((PI()*A96)/($F$9)))+$B$3*A96)</f>
        <v> </v>
      </c>
      <c r="C96" s="31" t="str">
        <f t="shared" si="12"/>
        <v> </v>
      </c>
      <c r="D96" s="31" t="str">
        <f t="shared" si="9"/>
        <v> </v>
      </c>
      <c r="E96" s="31" t="str">
        <f>IF(D96=" "," ",($E$26-$B$3*($F$8))*((D96/($F$8))-($C$18/(PI()))*SIN((PI()*D96)/($F$8)))+$B$3*D96)</f>
        <v> </v>
      </c>
      <c r="F96" s="31" t="str">
        <f t="shared" si="13"/>
        <v> </v>
      </c>
      <c r="G96" s="31"/>
      <c r="H96" s="31" t="str">
        <f t="shared" si="10"/>
        <v> </v>
      </c>
      <c r="I96" s="31" t="str">
        <f>IF(H96=" "," ",($I$26-$D$3*$F$13)*((H96/$F$13)-($C$18/(PI()))*SIN((PI()*H96)/$F$13))+$D$3*H96)</f>
        <v> </v>
      </c>
      <c r="J96" s="31" t="str">
        <f t="shared" si="14"/>
        <v> </v>
      </c>
      <c r="K96" s="31" t="str">
        <f t="shared" si="11"/>
        <v> </v>
      </c>
      <c r="L96" s="31" t="str">
        <f>IF(K96=" "," ",($L$26-$D$3*$F$12)*((K96/$F$12)-($C$18/(PI()))*SIN((PI()*K96)/$F$12))+$D$3*K96)</f>
        <v> </v>
      </c>
      <c r="M96" s="31" t="str">
        <f t="shared" si="15"/>
        <v> </v>
      </c>
    </row>
    <row r="97" spans="1:13">
      <c r="A97" s="31" t="str">
        <f t="shared" si="8"/>
        <v> </v>
      </c>
      <c r="B97" s="31" t="str">
        <f>IF(A97=" "," ",($B$26-$B$3*($F$9))*((A97/($F$9))-($C$18/(PI()))*SIN((PI()*A97)/($F$9)))+$B$3*A97)</f>
        <v> </v>
      </c>
      <c r="C97" s="31" t="str">
        <f t="shared" si="12"/>
        <v> </v>
      </c>
      <c r="D97" s="31" t="str">
        <f t="shared" si="9"/>
        <v> </v>
      </c>
      <c r="E97" s="31" t="str">
        <f>IF(D97=" "," ",($E$26-$B$3*($F$8))*((D97/($F$8))-($C$18/(PI()))*SIN((PI()*D97)/($F$8)))+$B$3*D97)</f>
        <v> </v>
      </c>
      <c r="F97" s="31" t="str">
        <f t="shared" si="13"/>
        <v> </v>
      </c>
      <c r="G97" s="31"/>
      <c r="H97" s="31" t="str">
        <f t="shared" si="10"/>
        <v> </v>
      </c>
      <c r="I97" s="31" t="str">
        <f>IF(H97=" "," ",($I$26-$D$3*$F$13)*((H97/$F$13)-($C$18/(PI()))*SIN((PI()*H97)/$F$13))+$D$3*H97)</f>
        <v> </v>
      </c>
      <c r="J97" s="31" t="str">
        <f t="shared" si="14"/>
        <v> </v>
      </c>
      <c r="K97" s="31" t="str">
        <f t="shared" si="11"/>
        <v> </v>
      </c>
      <c r="L97" s="31" t="str">
        <f>IF(K97=" "," ",($L$26-$D$3*$F$12)*((K97/$F$12)-($C$18/(PI()))*SIN((PI()*K97)/$F$12))+$D$3*K97)</f>
        <v> </v>
      </c>
      <c r="M97" s="31" t="str">
        <f t="shared" si="15"/>
        <v> </v>
      </c>
    </row>
    <row r="98" spans="1:13">
      <c r="A98" s="31" t="str">
        <f t="shared" si="8"/>
        <v> </v>
      </c>
      <c r="B98" s="31" t="str">
        <f>IF(A98=" "," ",($B$26-$B$3*($F$9))*((A98/($F$9))-($C$18/(PI()))*SIN((PI()*A98)/($F$9)))+$B$3*A98)</f>
        <v> </v>
      </c>
      <c r="C98" s="31" t="str">
        <f t="shared" si="12"/>
        <v> </v>
      </c>
      <c r="D98" s="31" t="str">
        <f t="shared" si="9"/>
        <v> </v>
      </c>
      <c r="E98" s="31" t="str">
        <f>IF(D98=" "," ",($E$26-$B$3*($F$8))*((D98/($F$8))-($C$18/(PI()))*SIN((PI()*D98)/($F$8)))+$B$3*D98)</f>
        <v> </v>
      </c>
      <c r="F98" s="31" t="str">
        <f t="shared" si="13"/>
        <v> </v>
      </c>
      <c r="G98" s="31"/>
      <c r="H98" s="31" t="str">
        <f t="shared" si="10"/>
        <v> </v>
      </c>
      <c r="I98" s="31" t="str">
        <f>IF(H98=" "," ",($I$26-$D$3*$F$13)*((H98/$F$13)-($C$18/(PI()))*SIN((PI()*H98)/$F$13))+$D$3*H98)</f>
        <v> </v>
      </c>
      <c r="J98" s="31" t="str">
        <f t="shared" si="14"/>
        <v> </v>
      </c>
      <c r="K98" s="31" t="str">
        <f t="shared" si="11"/>
        <v> </v>
      </c>
      <c r="L98" s="31" t="str">
        <f>IF(K98=" "," ",($L$26-$D$3*$F$12)*((K98/$F$12)-($C$18/(PI()))*SIN((PI()*K98)/$F$12))+$D$3*K98)</f>
        <v> </v>
      </c>
      <c r="M98" s="31" t="str">
        <f t="shared" si="15"/>
        <v> </v>
      </c>
    </row>
    <row r="99" spans="1:13">
      <c r="A99" s="31" t="str">
        <f t="shared" si="8"/>
        <v> </v>
      </c>
      <c r="B99" s="31" t="str">
        <f>IF(A99=" "," ",($B$26-$B$3*($F$9))*((A99/($F$9))-($C$18/(PI()))*SIN((PI()*A99)/($F$9)))+$B$3*A99)</f>
        <v> </v>
      </c>
      <c r="C99" s="31" t="str">
        <f t="shared" si="12"/>
        <v> </v>
      </c>
      <c r="D99" s="31" t="str">
        <f t="shared" si="9"/>
        <v> </v>
      </c>
      <c r="E99" s="31" t="str">
        <f>IF(D99=" "," ",($E$26-$B$3*($F$8))*((D99/($F$8))-($C$18/(PI()))*SIN((PI()*D99)/($F$8)))+$B$3*D99)</f>
        <v> </v>
      </c>
      <c r="F99" s="31" t="str">
        <f t="shared" si="13"/>
        <v> </v>
      </c>
      <c r="G99" s="31"/>
      <c r="H99" s="31" t="str">
        <f t="shared" si="10"/>
        <v> </v>
      </c>
      <c r="I99" s="31" t="str">
        <f>IF(H99=" "," ",($I$26-$D$3*$F$13)*((H99/$F$13)-($C$18/(PI()))*SIN((PI()*H99)/$F$13))+$D$3*H99)</f>
        <v> </v>
      </c>
      <c r="J99" s="31" t="str">
        <f t="shared" si="14"/>
        <v> </v>
      </c>
      <c r="K99" s="31" t="str">
        <f t="shared" si="11"/>
        <v> </v>
      </c>
      <c r="L99" s="31" t="str">
        <f>IF(K99=" "," ",($L$26-$D$3*$F$12)*((K99/$F$12)-($C$18/(PI()))*SIN((PI()*K99)/$F$12))+$D$3*K99)</f>
        <v> </v>
      </c>
      <c r="M99" s="31" t="str">
        <f t="shared" si="15"/>
        <v> </v>
      </c>
    </row>
    <row r="100" spans="1:13">
      <c r="A100" s="31" t="str">
        <f t="shared" si="8"/>
        <v> </v>
      </c>
      <c r="B100" s="31" t="str">
        <f>IF(A100=" "," ",($B$26-$B$3*($F$9))*((A100/($F$9))-($C$18/(PI()))*SIN((PI()*A100)/($F$9)))+$B$3*A100)</f>
        <v> </v>
      </c>
      <c r="C100" s="31" t="str">
        <f t="shared" si="12"/>
        <v> </v>
      </c>
      <c r="D100" s="31" t="str">
        <f t="shared" si="9"/>
        <v> </v>
      </c>
      <c r="E100" s="31" t="str">
        <f>IF(D100=" "," ",($E$26-$B$3*($F$8))*((D100/($F$8))-($C$18/(PI()))*SIN((PI()*D100)/($F$8)))+$B$3*D100)</f>
        <v> </v>
      </c>
      <c r="F100" s="31" t="str">
        <f t="shared" si="13"/>
        <v> </v>
      </c>
      <c r="G100" s="31"/>
      <c r="H100" s="31" t="str">
        <f t="shared" si="10"/>
        <v> </v>
      </c>
      <c r="I100" s="31" t="str">
        <f>IF(H100=" "," ",($I$26-$D$3*$F$13)*((H100/$F$13)-($C$18/(PI()))*SIN((PI()*H100)/$F$13))+$D$3*H100)</f>
        <v> </v>
      </c>
      <c r="J100" s="31" t="str">
        <f t="shared" si="14"/>
        <v> </v>
      </c>
      <c r="K100" s="31" t="str">
        <f t="shared" si="11"/>
        <v> </v>
      </c>
      <c r="L100" s="31" t="str">
        <f>IF(K100=" "," ",($L$26-$D$3*$F$12)*((K100/$F$12)-($C$18/(PI()))*SIN((PI()*K100)/$F$12))+$D$3*K100)</f>
        <v> </v>
      </c>
      <c r="M100" s="31" t="str">
        <f t="shared" si="15"/>
        <v> </v>
      </c>
    </row>
    <row r="101" spans="1:13">
      <c r="A101" s="31" t="str">
        <f t="shared" si="8"/>
        <v> </v>
      </c>
      <c r="B101" s="31" t="str">
        <f>IF(A101=" "," ",($B$26-$B$3*($F$9))*((A101/($F$9))-($C$18/(PI()))*SIN((PI()*A101)/($F$9)))+$B$3*A101)</f>
        <v> </v>
      </c>
      <c r="C101" s="31" t="str">
        <f t="shared" si="12"/>
        <v> </v>
      </c>
      <c r="D101" s="31" t="str">
        <f t="shared" si="9"/>
        <v> </v>
      </c>
      <c r="E101" s="31" t="str">
        <f>IF(D101=" "," ",($E$26-$B$3*($F$8))*((D101/($F$8))-($C$18/(PI()))*SIN((PI()*D101)/($F$8)))+$B$3*D101)</f>
        <v> </v>
      </c>
      <c r="F101" s="31" t="str">
        <f t="shared" si="13"/>
        <v> </v>
      </c>
      <c r="G101" s="31"/>
      <c r="H101" s="31" t="str">
        <f t="shared" si="10"/>
        <v> </v>
      </c>
      <c r="I101" s="31" t="str">
        <f>IF(H101=" "," ",($I$26-$D$3*$F$13)*((H101/$F$13)-($C$18/(PI()))*SIN((PI()*H101)/$F$13))+$D$3*H101)</f>
        <v> </v>
      </c>
      <c r="J101" s="31" t="str">
        <f t="shared" si="14"/>
        <v> </v>
      </c>
      <c r="K101" s="31" t="str">
        <f t="shared" si="11"/>
        <v> </v>
      </c>
      <c r="L101" s="31" t="str">
        <f>IF(K101=" "," ",($L$26-$D$3*$F$12)*((K101/$F$12)-($C$18/(PI()))*SIN((PI()*K101)/$F$12))+$D$3*K101)</f>
        <v> </v>
      </c>
      <c r="M101" s="31" t="str">
        <f t="shared" si="15"/>
        <v> </v>
      </c>
    </row>
    <row r="102" spans="1:13">
      <c r="A102" s="31" t="str">
        <f t="shared" si="8"/>
        <v> </v>
      </c>
      <c r="B102" s="31" t="str">
        <f>IF(A102=" "," ",($B$26-$B$3*($F$9))*((A102/($F$9))-($C$18/(PI()))*SIN((PI()*A102)/($F$9)))+$B$3*A102)</f>
        <v> </v>
      </c>
      <c r="C102" s="31" t="str">
        <f t="shared" si="12"/>
        <v> </v>
      </c>
      <c r="D102" s="31" t="str">
        <f t="shared" si="9"/>
        <v> </v>
      </c>
      <c r="E102" s="31" t="str">
        <f>IF(D102=" "," ",($E$26-$B$3*($F$8))*((D102/($F$8))-($C$18/(PI()))*SIN((PI()*D102)/($F$8)))+$B$3*D102)</f>
        <v> </v>
      </c>
      <c r="F102" s="31" t="str">
        <f t="shared" si="13"/>
        <v> </v>
      </c>
      <c r="G102" s="31"/>
      <c r="H102" s="31" t="str">
        <f t="shared" si="10"/>
        <v> </v>
      </c>
      <c r="I102" s="31" t="str">
        <f>IF(H102=" "," ",($I$26-$D$3*$F$13)*((H102/$F$13)-($C$18/(PI()))*SIN((PI()*H102)/$F$13))+$D$3*H102)</f>
        <v> </v>
      </c>
      <c r="J102" s="31" t="str">
        <f t="shared" si="14"/>
        <v> </v>
      </c>
      <c r="K102" s="31" t="str">
        <f t="shared" si="11"/>
        <v> </v>
      </c>
      <c r="L102" s="31" t="str">
        <f>IF(K102=" "," ",($L$26-$D$3*$F$12)*((K102/$F$12)-($C$18/(PI()))*SIN((PI()*K102)/$F$12))+$D$3*K102)</f>
        <v> </v>
      </c>
      <c r="M102" s="31" t="str">
        <f t="shared" si="15"/>
        <v> </v>
      </c>
    </row>
    <row r="103" spans="1:13">
      <c r="A103" s="31" t="str">
        <f t="shared" si="8"/>
        <v> </v>
      </c>
      <c r="B103" s="31" t="str">
        <f>IF(A103=" "," ",($B$26-$B$3*($F$9))*((A103/($F$9))-($C$18/(PI()))*SIN((PI()*A103)/($F$9)))+$B$3*A103)</f>
        <v> </v>
      </c>
      <c r="C103" s="31" t="str">
        <f t="shared" si="12"/>
        <v> </v>
      </c>
      <c r="D103" s="31" t="str">
        <f t="shared" si="9"/>
        <v> </v>
      </c>
      <c r="E103" s="31" t="str">
        <f>IF(D103=" "," ",($E$26-$B$3*($F$8))*((D103/($F$8))-($C$18/(PI()))*SIN((PI()*D103)/($F$8)))+$B$3*D103)</f>
        <v> </v>
      </c>
      <c r="F103" s="31" t="str">
        <f t="shared" si="13"/>
        <v> </v>
      </c>
      <c r="G103" s="31"/>
      <c r="H103" s="31" t="str">
        <f t="shared" si="10"/>
        <v> </v>
      </c>
      <c r="I103" s="31" t="str">
        <f>IF(H103=" "," ",($I$26-$D$3*$F$13)*((H103/$F$13)-($C$18/(PI()))*SIN((PI()*H103)/$F$13))+$D$3*H103)</f>
        <v> </v>
      </c>
      <c r="J103" s="31" t="str">
        <f t="shared" si="14"/>
        <v> </v>
      </c>
      <c r="K103" s="31" t="str">
        <f t="shared" si="11"/>
        <v> </v>
      </c>
      <c r="L103" s="31" t="str">
        <f>IF(K103=" "," ",($L$26-$D$3*$F$12)*((K103/$F$12)-($C$18/(PI()))*SIN((PI()*K103)/$F$12))+$D$3*K103)</f>
        <v> </v>
      </c>
      <c r="M103" s="31" t="str">
        <f t="shared" si="15"/>
        <v> </v>
      </c>
    </row>
    <row r="104" spans="1:13">
      <c r="A104" s="31" t="str">
        <f t="shared" si="8"/>
        <v> </v>
      </c>
      <c r="B104" s="31" t="str">
        <f>IF(A104=" "," ",($B$26-$B$3*($F$9))*((A104/($F$9))-($C$18/(PI()))*SIN((PI()*A104)/($F$9)))+$B$3*A104)</f>
        <v> </v>
      </c>
      <c r="C104" s="31" t="str">
        <f t="shared" si="12"/>
        <v> </v>
      </c>
      <c r="D104" s="31" t="str">
        <f t="shared" si="9"/>
        <v> </v>
      </c>
      <c r="E104" s="31" t="str">
        <f>IF(D104=" "," ",($E$26-$B$3*($F$8))*((D104/($F$8))-($C$18/(PI()))*SIN((PI()*D104)/($F$8)))+$B$3*D104)</f>
        <v> </v>
      </c>
      <c r="F104" s="31" t="str">
        <f t="shared" si="13"/>
        <v> </v>
      </c>
      <c r="G104" s="31"/>
      <c r="H104" s="31" t="str">
        <f t="shared" si="10"/>
        <v> </v>
      </c>
      <c r="I104" s="31" t="str">
        <f>IF(H104=" "," ",($I$26-$D$3*$F$13)*((H104/$F$13)-($C$18/(PI()))*SIN((PI()*H104)/$F$13))+$D$3*H104)</f>
        <v> </v>
      </c>
      <c r="J104" s="31" t="str">
        <f t="shared" si="14"/>
        <v> </v>
      </c>
      <c r="K104" s="31" t="str">
        <f t="shared" si="11"/>
        <v> </v>
      </c>
      <c r="L104" s="31" t="str">
        <f>IF(K104=" "," ",($L$26-$D$3*$F$12)*((K104/$F$12)-($C$18/(PI()))*SIN((PI()*K104)/$F$12))+$D$3*K104)</f>
        <v> </v>
      </c>
      <c r="M104" s="31" t="str">
        <f t="shared" si="15"/>
        <v> </v>
      </c>
    </row>
    <row r="105" spans="1:13">
      <c r="A105" s="31" t="str">
        <f t="shared" si="8"/>
        <v> </v>
      </c>
      <c r="B105" s="31" t="str">
        <f>IF(A105=" "," ",($B$26-$B$3*($F$9))*((A105/($F$9))-($C$18/(PI()))*SIN((PI()*A105)/($F$9)))+$B$3*A105)</f>
        <v> </v>
      </c>
      <c r="C105" s="31" t="str">
        <f t="shared" si="12"/>
        <v> </v>
      </c>
      <c r="D105" s="31" t="str">
        <f t="shared" si="9"/>
        <v> </v>
      </c>
      <c r="E105" s="31" t="str">
        <f>IF(D105=" "," ",($E$26-$B$3*($F$8))*((D105/($F$8))-($C$18/(PI()))*SIN((PI()*D105)/($F$8)))+$B$3*D105)</f>
        <v> </v>
      </c>
      <c r="F105" s="31" t="str">
        <f t="shared" si="13"/>
        <v> </v>
      </c>
      <c r="G105" s="31"/>
      <c r="H105" s="31" t="str">
        <f t="shared" si="10"/>
        <v> </v>
      </c>
      <c r="I105" s="31" t="str">
        <f>IF(H105=" "," ",($I$26-$D$3*$F$13)*((H105/$F$13)-($C$18/(PI()))*SIN((PI()*H105)/$F$13))+$D$3*H105)</f>
        <v> </v>
      </c>
      <c r="J105" s="31" t="str">
        <f t="shared" si="14"/>
        <v> </v>
      </c>
      <c r="K105" s="31" t="str">
        <f t="shared" si="11"/>
        <v> </v>
      </c>
      <c r="L105" s="31" t="str">
        <f>IF(K105=" "," ",($L$26-$D$3*$F$12)*((K105/$F$12)-($C$18/(PI()))*SIN((PI()*K105)/$F$12))+$D$3*K105)</f>
        <v> </v>
      </c>
      <c r="M105" s="31" t="str">
        <f t="shared" si="15"/>
        <v> </v>
      </c>
    </row>
    <row r="106" spans="1:13">
      <c r="A106" s="31" t="str">
        <f t="shared" si="8"/>
        <v> </v>
      </c>
      <c r="B106" s="31" t="str">
        <f>IF(A106=" "," ",($B$26-$B$3*($F$9))*((A106/($F$9))-($C$18/(PI()))*SIN((PI()*A106)/($F$9)))+$B$3*A106)</f>
        <v> </v>
      </c>
      <c r="C106" s="31" t="str">
        <f t="shared" si="12"/>
        <v> </v>
      </c>
      <c r="D106" s="31" t="str">
        <f t="shared" si="9"/>
        <v> </v>
      </c>
      <c r="E106" s="31" t="str">
        <f>IF(D106=" "," ",($E$26-$B$3*($F$8))*((D106/($F$8))-($C$18/(PI()))*SIN((PI()*D106)/($F$8)))+$B$3*D106)</f>
        <v> </v>
      </c>
      <c r="F106" s="31" t="str">
        <f t="shared" si="13"/>
        <v> </v>
      </c>
      <c r="G106" s="31"/>
      <c r="H106" s="31" t="str">
        <f t="shared" si="10"/>
        <v> </v>
      </c>
      <c r="I106" s="31" t="str">
        <f>IF(H106=" "," ",($I$26-$D$3*$F$13)*((H106/$F$13)-($C$18/(PI()))*SIN((PI()*H106)/$F$13))+$D$3*H106)</f>
        <v> </v>
      </c>
      <c r="J106" s="31" t="str">
        <f t="shared" si="14"/>
        <v> </v>
      </c>
      <c r="K106" s="31" t="str">
        <f t="shared" si="11"/>
        <v> </v>
      </c>
      <c r="L106" s="31" t="str">
        <f>IF(K106=" "," ",($L$26-$D$3*$F$12)*((K106/$F$12)-($C$18/(PI()))*SIN((PI()*K106)/$F$12))+$D$3*K106)</f>
        <v> </v>
      </c>
      <c r="M106" s="31" t="str">
        <f t="shared" si="15"/>
        <v> 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 t="str">
        <f t="shared" si="10"/>
        <v> </v>
      </c>
      <c r="I107" s="31" t="str">
        <f>IF(H107=" "," ",($I$26-$D$3*$F$13)*((H107/$F$13)-($C$18/(PI()))*SIN((PI()*H107)/$F$13))+$D$3*H107)</f>
        <v> </v>
      </c>
      <c r="J107" s="31" t="str">
        <f t="shared" si="14"/>
        <v> </v>
      </c>
      <c r="K107" s="31" t="str">
        <f t="shared" si="11"/>
        <v> </v>
      </c>
      <c r="L107" s="31" t="str">
        <f>IF(K107=" "," ",($L$26-$D$3*$F$12)*((K107/$F$12)-($C$18/(PI()))*SIN((PI()*K107)/$F$12))+$D$3*K107)</f>
        <v> </v>
      </c>
      <c r="M107" s="31" t="str">
        <f t="shared" si="15"/>
        <v> 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 t="str">
        <f t="shared" si="10"/>
        <v> </v>
      </c>
      <c r="I108" s="31" t="str">
        <f>IF(H108=" "," ",($I$26-$D$3*$F$13)*((H108/$F$13)-($C$18/(PI()))*SIN((PI()*H108)/$F$13))+$D$3*H108)</f>
        <v> </v>
      </c>
      <c r="J108" s="31" t="str">
        <f t="shared" si="14"/>
        <v> 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 t="str">
        <f t="shared" si="10"/>
        <v> </v>
      </c>
      <c r="I109" s="31" t="str">
        <f>IF(H109=" "," ",($I$26-$D$3*$F$13)*((H109/$F$13)-($C$18/(PI()))*SIN((PI()*H109)/$F$13))+$D$3*H109)</f>
        <v> </v>
      </c>
      <c r="J109" s="31" t="str">
        <f t="shared" si="14"/>
        <v> 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 t="str">
        <f t="shared" si="10"/>
        <v> </v>
      </c>
      <c r="I110" s="31" t="str">
        <f>IF(H110=" "," ",($I$26-$D$3*$F$13)*((H110/$F$13)-($C$18/(PI()))*SIN((PI()*H110)/$F$13))+$D$3*H110)</f>
        <v> </v>
      </c>
      <c r="J110" s="31" t="str">
        <f t="shared" si="14"/>
        <v> 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 t="str">
        <f t="shared" si="10"/>
        <v> </v>
      </c>
      <c r="I111" s="31" t="str">
        <f>IF(H111=" "," ",($I$26-$D$3*$F$13)*((H111/$F$13)-($C$18/(PI()))*SIN((PI()*H111)/$F$13))+$D$3*H111)</f>
        <v> </v>
      </c>
      <c r="J111" s="31" t="str">
        <f t="shared" si="14"/>
        <v> 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 t="str">
        <f t="shared" si="10"/>
        <v> </v>
      </c>
      <c r="I112" s="31" t="str">
        <f>IF(H112=" "," ",($I$26-$D$3*$F$13)*((H112/$F$13)-($C$18/(PI()))*SIN((PI()*H112)/$F$13))+$D$3*H112)</f>
        <v> </v>
      </c>
      <c r="J112" s="31" t="str">
        <f t="shared" si="14"/>
        <v> 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 t="str">
        <f t="shared" si="10"/>
        <v> </v>
      </c>
      <c r="I113" s="31" t="str">
        <f>IF(H113=" "," ",($I$26-$D$3*$F$13)*((H113/$F$13)-($C$18/(PI()))*SIN((PI()*H113)/$F$13))+$D$3*H113)</f>
        <v> </v>
      </c>
      <c r="J113" s="31" t="str">
        <f t="shared" si="14"/>
        <v> 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 t="str">
        <f t="shared" si="10"/>
        <v> </v>
      </c>
      <c r="I114" s="31" t="str">
        <f>IF(H114=" "," ",($I$26-$D$3*$F$13)*((H114/$F$13)-($C$18/(PI()))*SIN((PI()*H114)/$F$13))+$D$3*H114)</f>
        <v> </v>
      </c>
      <c r="J114" s="31" t="str">
        <f t="shared" si="14"/>
        <v> 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 t="str">
        <f t="shared" si="10"/>
        <v> </v>
      </c>
      <c r="I115" s="31" t="str">
        <f>IF(H115=" "," ",($I$26-$D$3*$F$13)*((H115/$F$13)-($C$18/(PI()))*SIN((PI()*H115)/$F$13))+$D$3*H115)</f>
        <v> </v>
      </c>
      <c r="J115" s="31" t="str">
        <f t="shared" si="14"/>
        <v> 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 t="str">
        <f t="shared" si="10"/>
        <v> </v>
      </c>
      <c r="I116" s="31" t="str">
        <f>IF(H116=" "," ",($I$26-$D$3*$F$13)*((H116/$F$13)-($C$18/(PI()))*SIN((PI()*H116)/$F$13))+$D$3*H116)</f>
        <v> </v>
      </c>
      <c r="J116" s="31" t="str">
        <f t="shared" si="14"/>
        <v> 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 t="str">
        <f t="shared" si="10"/>
        <v> </v>
      </c>
      <c r="I117" s="31" t="str">
        <f>IF(H117=" "," ",($I$26-$D$3*$F$13)*((H117/$F$13)-($C$18/(PI()))*SIN((PI()*H117)/$F$13))+$D$3*H117)</f>
        <v> </v>
      </c>
      <c r="J117" s="31" t="str">
        <f t="shared" si="14"/>
        <v> 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 t="str">
        <f t="shared" si="10"/>
        <v> </v>
      </c>
      <c r="I118" s="31" t="str">
        <f>IF(H118=" "," ",($I$26-$D$3*$F$13)*((H118/$F$13)-($C$18/(PI()))*SIN((PI()*H118)/$F$13))+$D$3*H118)</f>
        <v> </v>
      </c>
      <c r="J118" s="31" t="str">
        <f t="shared" si="14"/>
        <v> 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 t="str">
        <f t="shared" si="10"/>
        <v> </v>
      </c>
      <c r="I119" s="31" t="str">
        <f>IF(H119=" "," ",($I$26-$D$3*$F$13)*((H119/$F$13)-($C$18/(PI()))*SIN((PI()*H119)/$F$13))+$D$3*H119)</f>
        <v> </v>
      </c>
      <c r="J119" s="31" t="str">
        <f t="shared" si="14"/>
        <v> 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 t="str">
        <f t="shared" si="10"/>
        <v> </v>
      </c>
      <c r="I120" s="31" t="str">
        <f>IF(H120=" "," ",($I$26-$D$3*$F$13)*((H120/$F$13)-($C$18/(PI()))*SIN((PI()*H120)/$F$13))+$D$3*H120)</f>
        <v> </v>
      </c>
      <c r="J120" s="31" t="str">
        <f t="shared" si="14"/>
        <v> 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 t="str">
        <f t="shared" si="10"/>
        <v> </v>
      </c>
      <c r="I121" s="31" t="str">
        <f>IF(H121=" "," ",($I$26-$D$3*$F$13)*((H121/$F$13)-($C$18/(PI()))*SIN((PI()*H121)/$F$13))+$D$3*H121)</f>
        <v> </v>
      </c>
      <c r="J121" s="31" t="str">
        <f t="shared" si="14"/>
        <v> 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 t="str">
        <f t="shared" si="10"/>
        <v> </v>
      </c>
      <c r="I122" s="31" t="str">
        <f>IF(H122=" "," ",($I$26-$D$3*$F$13)*((H122/$F$13)-($C$18/(PI()))*SIN((PI()*H122)/$F$13))+$D$3*H122)</f>
        <v> </v>
      </c>
      <c r="J122" s="31" t="str">
        <f t="shared" si="14"/>
        <v> 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 t="str">
        <f t="shared" si="10"/>
        <v> </v>
      </c>
      <c r="I123" s="31" t="str">
        <f>IF(H123=" "," ",($I$26-$D$3*$F$13)*((H123/$F$13)-($C$18/(PI()))*SIN((PI()*H123)/$F$13))+$D$3*H123)</f>
        <v> </v>
      </c>
      <c r="J123" s="31" t="str">
        <f t="shared" si="14"/>
        <v> 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 t="str">
        <f t="shared" si="10"/>
        <v> </v>
      </c>
      <c r="I124" s="31" t="str">
        <f>IF(H124=" "," ",($I$26-$D$3*$F$13)*((H124/$F$13)-($C$18/(PI()))*SIN((PI()*H124)/$F$13))+$D$3*H124)</f>
        <v> </v>
      </c>
      <c r="J124" s="31" t="str">
        <f t="shared" si="14"/>
        <v> 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 t="str">
        <f t="shared" si="10"/>
        <v> </v>
      </c>
      <c r="I125" s="31" t="str">
        <f>IF(H125=" "," ",($I$26-$D$3*$F$13)*((H125/$F$13)-($C$18/(PI()))*SIN((PI()*H125)/$F$13))+$D$3*H125)</f>
        <v> </v>
      </c>
      <c r="J125" s="31" t="str">
        <f t="shared" si="14"/>
        <v> 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 t="str">
        <f t="shared" si="10"/>
        <v> </v>
      </c>
      <c r="I126" s="31" t="str">
        <f>IF(H126=" "," ",($I$26-$D$3*$F$13)*((H126/$F$13)-($C$18/(PI()))*SIN((PI()*H126)/$F$13))+$D$3*H126)</f>
        <v> </v>
      </c>
      <c r="J126" s="31" t="str">
        <f t="shared" si="14"/>
        <v> 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K15" sqref="K15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0.0128</v>
      </c>
      <c r="C3" s="7" t="s">
        <v>112</v>
      </c>
      <c r="D3" s="8">
        <v>0.0128</v>
      </c>
      <c r="E3" s="7" t="s">
        <v>113</v>
      </c>
      <c r="F3" s="8">
        <f>D3*9</f>
        <v>0.1152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1.5104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218</v>
      </c>
      <c r="C8" s="11" t="s">
        <v>125</v>
      </c>
      <c r="D8" s="12">
        <f>D7/B3</f>
        <v>118</v>
      </c>
      <c r="E8" s="7" t="s">
        <v>126</v>
      </c>
      <c r="F8" s="34">
        <v>50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50</v>
      </c>
      <c r="C9" s="13"/>
      <c r="D9" s="14"/>
      <c r="E9" s="7" t="s">
        <v>130</v>
      </c>
      <c r="F9" s="34">
        <v>50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2.9952</v>
      </c>
      <c r="E11" s="7"/>
      <c r="J11" s="41" t="s">
        <v>134</v>
      </c>
      <c r="K11" s="42">
        <f>(B3*K9)/K3</f>
        <v>4.07799413390927</v>
      </c>
    </row>
    <row r="12" ht="15.15" spans="1:11">
      <c r="A12" s="11" t="s">
        <v>135</v>
      </c>
      <c r="B12" s="12">
        <f>D12+F13+F12</f>
        <v>346</v>
      </c>
      <c r="C12" s="15" t="s">
        <v>136</v>
      </c>
      <c r="D12" s="12">
        <f>D11/D3</f>
        <v>234</v>
      </c>
      <c r="E12" s="7" t="s">
        <v>137</v>
      </c>
      <c r="F12" s="34">
        <v>50</v>
      </c>
      <c r="G12" t="s">
        <v>127</v>
      </c>
      <c r="J12" s="43" t="s">
        <v>138</v>
      </c>
      <c r="K12" s="29">
        <f>(1-EXP(-1*K11/25))</f>
        <v>0.150510557083945</v>
      </c>
    </row>
    <row r="13" ht="15.15" spans="1:7">
      <c r="A13" s="11" t="s">
        <v>139</v>
      </c>
      <c r="B13" s="12">
        <f>F12</f>
        <v>50</v>
      </c>
      <c r="C13" s="13"/>
      <c r="D13" s="14"/>
      <c r="E13" s="7" t="s">
        <v>140</v>
      </c>
      <c r="F13" s="34">
        <v>62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0.00128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28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1.194</v>
      </c>
      <c r="G20" s="35" t="s">
        <v>147</v>
      </c>
      <c r="H20" s="36">
        <f>(B8*B12*B16)/1000000</f>
        <v>2.111984</v>
      </c>
      <c r="I20">
        <v>0.54</v>
      </c>
    </row>
    <row r="21" spans="1:8">
      <c r="A21" s="24" t="s">
        <v>148</v>
      </c>
      <c r="B21" s="25"/>
      <c r="C21" s="26">
        <f>ROUND(MAX(C29:C529),3)</f>
        <v>1.194</v>
      </c>
      <c r="G21" s="35"/>
      <c r="H21" s="36"/>
    </row>
    <row r="22" spans="1:7">
      <c r="A22" s="24" t="s">
        <v>149</v>
      </c>
      <c r="B22" s="25"/>
      <c r="C22" s="26">
        <f>ROUND(MAX(M28:M528),3)</f>
        <v>1.195</v>
      </c>
      <c r="G22" s="37"/>
    </row>
    <row r="23" ht="15.15" spans="1:6">
      <c r="A23" s="27" t="s">
        <v>150</v>
      </c>
      <c r="B23" s="28"/>
      <c r="C23" s="29">
        <f>ROUND(MAX(J28:J528),3)</f>
        <v>1.198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11.2448</v>
      </c>
      <c r="D26" s="7" t="s">
        <v>155</v>
      </c>
      <c r="E26" s="9">
        <f>B4-D7*0.5</f>
        <v>11.2448</v>
      </c>
      <c r="H26" s="7" t="s">
        <v>155</v>
      </c>
      <c r="I26" s="9">
        <f>B11-(D4+D11*0.5)</f>
        <v>21.6024</v>
      </c>
      <c r="K26" s="7" t="s">
        <v>155</v>
      </c>
      <c r="L26" s="9">
        <f>D4-D11*0.5</f>
        <v>11.4024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0.0129395260301546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0.0129395260301546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0.0129436033955632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0.0129415995536866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0.0267155474293662</v>
      </c>
      <c r="C30" s="31">
        <f t="shared" ref="C30:C93" si="4">IF(A30=" "," ",(B30-B29)/(B29-B28))</f>
        <v>1.06464652314988</v>
      </c>
      <c r="D30" s="31">
        <f t="shared" si="1"/>
        <v>2</v>
      </c>
      <c r="E30" s="31">
        <f>IF(D30=" "," ",($E$26-$B$3*($F$8))*((D30/($F$8))-($C$18/(PI()))*SIN((PI()*D30)/($F$8)))+$B$3*D30)</f>
        <v>0.0267155474293662</v>
      </c>
      <c r="F30" s="31">
        <f t="shared" ref="F30:F93" si="5">IF(D30=" "," ",(E30-E29)/(E29-E28))</f>
        <v>1.06464652314988</v>
      </c>
      <c r="G30" s="31"/>
      <c r="H30" s="31">
        <f t="shared" si="2"/>
        <v>2</v>
      </c>
      <c r="I30" s="31">
        <f>IF(H30=" "," ",($I$26-$D$3*$F$13)*((H30/$F$13)-($C$18/(PI()))*SIN((PI()*H30)/$F$13))+$D$3*H30)</f>
        <v>0.02674838479485</v>
      </c>
      <c r="J30" s="31">
        <f t="shared" ref="J30:J93" si="6">IF(H30=" "," ",(I30-I29)/(I29-I28))</f>
        <v>1.06653309572347</v>
      </c>
      <c r="K30" s="31">
        <f t="shared" si="3"/>
        <v>2</v>
      </c>
      <c r="L30" s="31">
        <f>IF(K30=" "," ",($L$26-$D$3*$F$12)*((K30/$F$12)-($C$18/(PI()))*SIN((PI()*K30)/$F$12))+$D$3*K30)</f>
        <v>0.0267321257971683</v>
      </c>
      <c r="M30" s="31">
        <f t="shared" ref="M30:M93" si="7">IF(K30=" "," ",(L30-L29)/(L29-L28))</f>
        <v>1.06559673603509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0.0421612583016286</v>
      </c>
      <c r="C31" s="31">
        <f t="shared" si="4"/>
        <v>1.12120258996886</v>
      </c>
      <c r="D31" s="31">
        <f t="shared" si="1"/>
        <v>3</v>
      </c>
      <c r="E31" s="31">
        <f>IF(D31=" "," ",($E$26-$B$3*($F$8))*((D31/($F$8))-($C$18/(PI()))*SIN((PI()*D31)/($F$8)))+$B$3*D31)</f>
        <v>0.0421612583016286</v>
      </c>
      <c r="F31" s="31">
        <f t="shared" si="5"/>
        <v>1.12120258996886</v>
      </c>
      <c r="G31" s="31"/>
      <c r="H31" s="31">
        <f t="shared" si="2"/>
        <v>3</v>
      </c>
      <c r="I31" s="31">
        <f>IF(H31=" "," ",($I$26-$D$3*$F$13)*((H31/$F$13)-($C$18/(PI()))*SIN((PI()*H31)/$F$13))+$D$3*H31)</f>
        <v>0.0422733115699997</v>
      </c>
      <c r="J31" s="31">
        <f t="shared" si="6"/>
        <v>1.12460504271018</v>
      </c>
      <c r="K31" s="31">
        <f t="shared" si="3"/>
        <v>3</v>
      </c>
      <c r="L31" s="31">
        <f>IF(K31=" "," ",($L$26-$D$3*$F$12)*((K31/$F$12)-($C$18/(PI()))*SIN((PI()*K31)/$F$12))+$D$3*K31)</f>
        <v>0.0422171550944334</v>
      </c>
      <c r="M31" s="31">
        <f t="shared" si="7"/>
        <v>1.12287443016066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0.0601032632493936</v>
      </c>
      <c r="C32" s="31">
        <f t="shared" si="4"/>
        <v>1.1616172992067</v>
      </c>
      <c r="D32" s="31">
        <f t="shared" si="1"/>
        <v>4</v>
      </c>
      <c r="E32" s="31">
        <f>IF(D32=" "," ",($E$26-$B$3*($F$8))*((D32/($F$8))-($C$18/(PI()))*SIN((PI()*D32)/($F$8)))+$B$3*D32)</f>
        <v>0.0601032632493936</v>
      </c>
      <c r="F32" s="31">
        <f t="shared" si="5"/>
        <v>1.1616172992067</v>
      </c>
      <c r="G32" s="31"/>
      <c r="H32" s="31">
        <f t="shared" si="2"/>
        <v>4</v>
      </c>
      <c r="I32" s="31">
        <f>IF(H32=" "," ",($I$26-$D$3*$F$13)*((H32/$F$13)-($C$18/(PI()))*SIN((PI()*H32)/$F$13))+$D$3*H32)</f>
        <v>0.0603729355046425</v>
      </c>
      <c r="J32" s="31">
        <f t="shared" si="6"/>
        <v>1.16584278926291</v>
      </c>
      <c r="K32" s="31">
        <f t="shared" si="3"/>
        <v>4</v>
      </c>
      <c r="L32" s="31">
        <f>IF(K32=" "," ",($L$26-$D$3*$F$12)*((K32/$F$12)-($C$18/(PI()))*SIN((PI()*K32)/$F$12))+$D$3*K32)</f>
        <v>0.0602355763800613</v>
      </c>
      <c r="M32" s="31">
        <f t="shared" si="7"/>
        <v>1.16360266033273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0.0813583151428462</v>
      </c>
      <c r="C33" s="31">
        <f t="shared" si="4"/>
        <v>1.18465310623494</v>
      </c>
      <c r="D33" s="31">
        <f t="shared" si="1"/>
        <v>5</v>
      </c>
      <c r="E33" s="31">
        <f>IF(D33=" "," ",($E$26-$B$3*($F$8))*((D33/($F$8))-($C$18/(PI()))*SIN((PI()*D33)/($F$8)))+$B$3*D33)</f>
        <v>0.0813583151428462</v>
      </c>
      <c r="F33" s="31">
        <f t="shared" si="5"/>
        <v>1.18465310623494</v>
      </c>
      <c r="G33" s="31"/>
      <c r="H33" s="31">
        <f t="shared" si="2"/>
        <v>5</v>
      </c>
      <c r="I33" s="31">
        <f>IF(H33=" "," ",($I$26-$D$3*$F$13)*((H33/$F$13)-($C$18/(PI()))*SIN((PI()*H33)/$F$13))+$D$3*H33)</f>
        <v>0.0818951991717259</v>
      </c>
      <c r="J33" s="31">
        <f t="shared" si="6"/>
        <v>1.18910004676338</v>
      </c>
      <c r="K33" s="31">
        <f t="shared" si="3"/>
        <v>5</v>
      </c>
      <c r="L33" s="31">
        <f>IF(K33=" "," ",($L$26-$D$3*$F$12)*((K33/$F$12)-($C$18/(PI()))*SIN((PI()*K33)/$F$12))+$D$3*K33)</f>
        <v>0.0816162804478507</v>
      </c>
      <c r="M33" s="31">
        <f t="shared" si="7"/>
        <v>1.18660251799326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0.106730091769463</v>
      </c>
      <c r="C34" s="31">
        <f t="shared" si="4"/>
        <v>1.19368217747951</v>
      </c>
      <c r="D34" s="31">
        <f t="shared" si="1"/>
        <v>6</v>
      </c>
      <c r="E34" s="31">
        <f>IF(D34=" "," ",($E$26-$B$3*($F$8))*((D34/($F$8))-($C$18/(PI()))*SIN((PI()*D34)/($F$8)))+$B$3*D34)</f>
        <v>0.106730091769463</v>
      </c>
      <c r="F34" s="31">
        <f t="shared" si="5"/>
        <v>1.19368217747951</v>
      </c>
      <c r="G34" s="31"/>
      <c r="H34" s="31">
        <f t="shared" si="2"/>
        <v>6</v>
      </c>
      <c r="I34" s="31">
        <f>IF(H34=" "," ",($I$26-$D$3*$F$13)*((H34/$F$13)-($C$18/(PI()))*SIN((PI()*H34)/$F$13))+$D$3*H34)</f>
        <v>0.107679259277093</v>
      </c>
      <c r="J34" s="31">
        <f t="shared" si="6"/>
        <v>1.19801803863235</v>
      </c>
      <c r="K34" s="31">
        <f t="shared" si="3"/>
        <v>6</v>
      </c>
      <c r="L34" s="31">
        <f>IF(K34=" "," ",($L$26-$D$3*$F$12)*((K34/$F$12)-($C$18/(PI()))*SIN((PI()*K34)/$F$12))+$D$3*K34)</f>
        <v>0.107174888697539</v>
      </c>
      <c r="M34" s="31">
        <f t="shared" si="7"/>
        <v>1.19540536030304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0.137006024084951</v>
      </c>
      <c r="C35" s="31">
        <f t="shared" si="4"/>
        <v>1.19329177302182</v>
      </c>
      <c r="D35" s="31">
        <f t="shared" si="1"/>
        <v>7</v>
      </c>
      <c r="E35" s="31">
        <f>IF(D35=" "," ",($E$26-$B$3*($F$8))*((D35/($F$8))-($C$18/(PI()))*SIN((PI()*D35)/($F$8)))+$B$3*D35)</f>
        <v>0.137006024084951</v>
      </c>
      <c r="F35" s="31">
        <f t="shared" si="5"/>
        <v>1.19329177302182</v>
      </c>
      <c r="G35" s="31"/>
      <c r="H35" s="31">
        <f t="shared" si="2"/>
        <v>7</v>
      </c>
      <c r="I35" s="31">
        <f>IF(H35=" "," ",($I$26-$D$3*$F$13)*((H35/$F$13)-($C$18/(PI()))*SIN((PI()*H35)/$F$13))+$D$3*H35)</f>
        <v>0.138553332556253</v>
      </c>
      <c r="J35" s="31">
        <f t="shared" si="6"/>
        <v>1.19740929679002</v>
      </c>
      <c r="K35" s="31">
        <f t="shared" si="3"/>
        <v>7</v>
      </c>
      <c r="L35" s="31">
        <f>IF(K35=" "," ",($L$26-$D$3*$F$12)*((K35/$F$12)-($C$18/(PI()))*SIN((PI()*K35)/$F$12))+$D$3*K35)</f>
        <v>0.137710534249762</v>
      </c>
      <c r="M35" s="31">
        <f t="shared" si="7"/>
        <v>1.19473037240184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0.172954188583011</v>
      </c>
      <c r="C36" s="31">
        <f t="shared" si="4"/>
        <v>1.18735119775879</v>
      </c>
      <c r="D36" s="31">
        <f t="shared" si="1"/>
        <v>8</v>
      </c>
      <c r="E36" s="31">
        <f>IF(D36=" "," ",($E$26-$B$3*($F$8))*((D36/($F$8))-($C$18/(PI()))*SIN((PI()*D36)/($F$8)))+$B$3*D36)</f>
        <v>0.172954188583011</v>
      </c>
      <c r="F36" s="31">
        <f t="shared" si="5"/>
        <v>1.18735119775879</v>
      </c>
      <c r="G36" s="31"/>
      <c r="H36" s="31">
        <f t="shared" si="2"/>
        <v>8</v>
      </c>
      <c r="I36" s="31">
        <f>IF(H36=" "," ",($I$26-$D$3*$F$13)*((H36/$F$13)-($C$18/(PI()))*SIN((PI()*H36)/$F$13))+$D$3*H36)</f>
        <v>0.175332569753898</v>
      </c>
      <c r="J36" s="31">
        <f t="shared" si="6"/>
        <v>1.19126611072962</v>
      </c>
      <c r="K36" s="31">
        <f t="shared" si="3"/>
        <v>8</v>
      </c>
      <c r="L36" s="31">
        <f>IF(K36=" "," ",($L$26-$D$3*$F$12)*((K36/$F$12)-($C$18/(PI()))*SIN((PI()*K36)/$F$12))+$D$3*K36)</f>
        <v>0.174002708132713</v>
      </c>
      <c r="M36" s="31">
        <f t="shared" si="7"/>
        <v>1.18851831119413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0.215320276048313</v>
      </c>
      <c r="C37" s="31">
        <f t="shared" si="4"/>
        <v>1.17853270276399</v>
      </c>
      <c r="D37" s="31">
        <f t="shared" si="1"/>
        <v>9</v>
      </c>
      <c r="E37" s="31">
        <f>IF(D37=" "," ",($E$26-$B$3*($F$8))*((D37/($F$8))-($C$18/(PI()))*SIN((PI()*D37)/($F$8)))+$B$3*D37)</f>
        <v>0.215320276048313</v>
      </c>
      <c r="F37" s="31">
        <f t="shared" si="5"/>
        <v>1.17853270276399</v>
      </c>
      <c r="G37" s="31"/>
      <c r="H37" s="31">
        <f t="shared" si="2"/>
        <v>9</v>
      </c>
      <c r="I37" s="31">
        <f>IF(H37=" "," ",($I$26-$D$3*$F$13)*((H37/$F$13)-($C$18/(PI()))*SIN((PI()*H37)/$F$13))+$D$3*H37)</f>
        <v>0.218816963143636</v>
      </c>
      <c r="J37" s="31">
        <f t="shared" si="6"/>
        <v>1.18230819078874</v>
      </c>
      <c r="K37" s="31">
        <f t="shared" si="3"/>
        <v>9</v>
      </c>
      <c r="L37" s="31">
        <f>IF(K37=" "," ",($L$26-$D$3*$F$12)*((K37/$F$12)-($C$18/(PI()))*SIN((PI()*K37)/$F$12))+$D$3*K37)</f>
        <v>0.216808182987172</v>
      </c>
      <c r="M37" s="31">
        <f t="shared" si="7"/>
        <v>1.17946847142625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0.264824648655648</v>
      </c>
      <c r="C38" s="31">
        <f t="shared" si="4"/>
        <v>1.16849054442137</v>
      </c>
      <c r="D38" s="31">
        <f t="shared" si="1"/>
        <v>10</v>
      </c>
      <c r="E38" s="31">
        <f>IF(D38=" "," ",($E$26-$B$3*($F$8))*((D38/($F$8))-($C$18/(PI()))*SIN((PI()*D38)/($F$8)))+$B$3*D38)</f>
        <v>0.264824648655648</v>
      </c>
      <c r="F38" s="31">
        <f t="shared" si="5"/>
        <v>1.16849054442137</v>
      </c>
      <c r="G38" s="31"/>
      <c r="H38" s="31">
        <f t="shared" si="2"/>
        <v>10</v>
      </c>
      <c r="I38" s="31">
        <f>IF(H38=" "," ",($I$26-$D$3*$F$13)*((H38/$F$13)-($C$18/(PI()))*SIN((PI()*H38)/$F$13))+$D$3*H38)</f>
        <v>0.269789292959294</v>
      </c>
      <c r="J38" s="31">
        <f t="shared" si="6"/>
        <v>1.17219824958364</v>
      </c>
      <c r="K38" s="31">
        <f t="shared" si="3"/>
        <v>10</v>
      </c>
      <c r="L38" s="31">
        <f>IF(K38=" "," ",($L$26-$D$3*$F$12)*((K38/$F$12)-($C$18/(PI()))*SIN((PI()*K38)/$F$12))+$D$3*K38)</f>
        <v>0.26685802643063</v>
      </c>
      <c r="M38" s="31">
        <f t="shared" si="7"/>
        <v>1.16923929973045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0.322159497029522</v>
      </c>
      <c r="C39" s="31">
        <f t="shared" si="4"/>
        <v>1.15817745694203</v>
      </c>
      <c r="D39" s="31">
        <f t="shared" si="1"/>
        <v>11</v>
      </c>
      <c r="E39" s="31">
        <f>IF(D39=" "," ",($E$26-$B$3*($F$8))*((D39/($F$8))-($C$18/(PI()))*SIN((PI()*D39)/($F$8)))+$B$3*D39)</f>
        <v>0.322159497029522</v>
      </c>
      <c r="F39" s="31">
        <f t="shared" si="5"/>
        <v>1.15817745694203</v>
      </c>
      <c r="G39" s="31"/>
      <c r="H39" s="31">
        <f t="shared" si="2"/>
        <v>11</v>
      </c>
      <c r="I39" s="31">
        <f>IF(H39=" "," ",($I$26-$D$3*$F$13)*((H39/$F$13)-($C$18/(PI()))*SIN((PI()*H39)/$F$13))+$D$3*H39)</f>
        <v>0.329013118009289</v>
      </c>
      <c r="J39" s="31">
        <f t="shared" si="6"/>
        <v>1.16188185362881</v>
      </c>
      <c r="K39" s="31">
        <f t="shared" si="3"/>
        <v>11</v>
      </c>
      <c r="L39" s="31">
        <f>IF(K39=" "," ",($L$26-$D$3*$F$12)*((K39/$F$12)-($C$18/(PI()))*SIN((PI()*K39)/$F$12))+$D$3*K39)</f>
        <v>0.324854715867392</v>
      </c>
      <c r="M39" s="31">
        <f t="shared" si="7"/>
        <v>1.1587786383844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0.387986108483993</v>
      </c>
      <c r="C40" s="31">
        <f t="shared" si="4"/>
        <v>1.14810823297594</v>
      </c>
      <c r="D40" s="31">
        <f t="shared" si="1"/>
        <v>12</v>
      </c>
      <c r="E40" s="31">
        <f>IF(D40=" "," ",($E$26-$B$3*($F$8))*((D40/($F$8))-($C$18/(PI()))*SIN((PI()*D40)/($F$8)))+$B$3*D40)</f>
        <v>0.387986108483993</v>
      </c>
      <c r="F40" s="31">
        <f t="shared" si="5"/>
        <v>1.14810823297594</v>
      </c>
      <c r="G40" s="31"/>
      <c r="H40" s="31">
        <f t="shared" si="2"/>
        <v>12</v>
      </c>
      <c r="I40" s="31">
        <f>IF(H40=" "," ",($I$26-$D$3*$F$13)*((H40/$F$13)-($C$18/(PI()))*SIN((PI()*H40)/$F$13))+$D$3*H40)</f>
        <v>0.39723081563211</v>
      </c>
      <c r="J40" s="31">
        <f t="shared" si="6"/>
        <v>1.15186240613864</v>
      </c>
      <c r="K40" s="31">
        <f t="shared" si="3"/>
        <v>12</v>
      </c>
      <c r="L40" s="31">
        <f>IF(K40=" "," ",($L$26-$D$3*$F$12)*((K40/$F$12)-($C$18/(PI()))*SIN((PI()*K40)/$F$12))+$D$3*K40)</f>
        <v>0.391469366131197</v>
      </c>
      <c r="M40" s="31">
        <f t="shared" si="7"/>
        <v>1.14859401305034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0.46293225722376</v>
      </c>
      <c r="C41" s="31">
        <f t="shared" si="4"/>
        <v>1.1385387624214</v>
      </c>
      <c r="D41" s="31">
        <f t="shared" si="1"/>
        <v>13</v>
      </c>
      <c r="E41" s="31">
        <f>IF(D41=" "," ",($E$26-$B$3*($F$8))*((D41/($F$8))-($C$18/(PI()))*SIN((PI()*D41)/($F$8)))+$B$3*D41)</f>
        <v>0.46293225722376</v>
      </c>
      <c r="F41" s="31">
        <f t="shared" si="5"/>
        <v>1.1385387624214</v>
      </c>
      <c r="G41" s="31"/>
      <c r="H41" s="31">
        <f t="shared" si="2"/>
        <v>13</v>
      </c>
      <c r="I41" s="31">
        <f>IF(H41=" "," ",($I$26-$D$3*$F$13)*((H41/$F$13)-($C$18/(PI()))*SIN((PI()*H41)/$F$13))+$D$3*H41)</f>
        <v>0.475161676024352</v>
      </c>
      <c r="J41" s="31">
        <f t="shared" si="6"/>
        <v>1.14238479321194</v>
      </c>
      <c r="K41" s="31">
        <f t="shared" si="3"/>
        <v>13</v>
      </c>
      <c r="L41" s="31">
        <f>IF(K41=" "," ",($L$26-$D$3*$F$12)*((K41/$F$12)-($C$18/(PI()))*SIN((PI()*K41)/$F$12))+$D$3*K41)</f>
        <v>0.467339080901573</v>
      </c>
      <c r="M41" s="31">
        <f t="shared" si="7"/>
        <v>1.13893437059144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0.547589726806178</v>
      </c>
      <c r="C42" s="31">
        <f t="shared" si="4"/>
        <v>1.12957731659262</v>
      </c>
      <c r="D42" s="31">
        <f t="shared" si="1"/>
        <v>14</v>
      </c>
      <c r="E42" s="31">
        <f>IF(D42=" "," ",($E$26-$B$3*($F$8))*((D42/($F$8))-($C$18/(PI()))*SIN((PI()*D42)/($F$8)))+$B$3*D42)</f>
        <v>0.547589726806178</v>
      </c>
      <c r="F42" s="31">
        <f t="shared" si="5"/>
        <v>1.12957731659262</v>
      </c>
      <c r="G42" s="31"/>
      <c r="H42" s="31">
        <f t="shared" si="2"/>
        <v>14</v>
      </c>
      <c r="I42" s="31">
        <f>IF(H42=" "," ",($I$26-$D$3*$F$13)*((H42/$F$13)-($C$18/(PI()))*SIN((PI()*H42)/$F$13))+$D$3*H42)</f>
        <v>0.563500055833076</v>
      </c>
      <c r="J42" s="31">
        <f t="shared" si="6"/>
        <v>1.13354811385503</v>
      </c>
      <c r="K42" s="31">
        <f t="shared" si="3"/>
        <v>14</v>
      </c>
      <c r="L42" s="31">
        <f>IF(K42=" "," ",($L$26-$D$3*$F$12)*((K42/$F$12)-($C$18/(PI()))*SIN((PI()*K42)/$F$12))+$D$3*K42)</f>
        <v>0.553064438346675</v>
      </c>
      <c r="M42" s="31">
        <f t="shared" si="7"/>
        <v>1.12990219753106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0.642511974641914</v>
      </c>
      <c r="C43" s="31">
        <f t="shared" si="4"/>
        <v>1.12125070952333</v>
      </c>
      <c r="D43" s="31">
        <f t="shared" si="1"/>
        <v>15</v>
      </c>
      <c r="E43" s="31">
        <f>IF(D43=" "," ",($E$26-$B$3*($F$8))*((D43/($F$8))-($C$18/(PI()))*SIN((PI()*D43)/($F$8)))+$B$3*D43)</f>
        <v>0.642511974641914</v>
      </c>
      <c r="F43" s="31">
        <f t="shared" si="5"/>
        <v>1.12125070952333</v>
      </c>
      <c r="G43" s="31"/>
      <c r="H43" s="31">
        <f t="shared" si="2"/>
        <v>15</v>
      </c>
      <c r="I43" s="31">
        <f>IF(H43=" "," ",($I$26-$D$3*$F$13)*((H43/$F$13)-($C$18/(PI()))*SIN((PI()*H43)/$F$13))+$D$3*H43)</f>
        <v>0.662913595752277</v>
      </c>
      <c r="J43" s="31">
        <f t="shared" si="6"/>
        <v>1.12537200857042</v>
      </c>
      <c r="K43" s="31">
        <f t="shared" si="3"/>
        <v>15</v>
      </c>
      <c r="L43" s="31">
        <f>IF(K43=" "," ",($L$26-$D$3*$F$12)*((K43/$F$12)-($C$18/(PI()))*SIN((PI()*K43)/$F$12))+$D$3*K43)</f>
        <v>0.649207120915636</v>
      </c>
      <c r="M43" s="31">
        <f t="shared" si="7"/>
        <v>1.12151976304713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0.748211947751401</v>
      </c>
      <c r="C44" s="31">
        <f t="shared" si="4"/>
        <v>1.11354266802028</v>
      </c>
      <c r="D44" s="31">
        <f t="shared" si="1"/>
        <v>16</v>
      </c>
      <c r="E44" s="31">
        <f>IF(D44=" "," ",($E$26-$B$3*($F$8))*((D44/($F$8))-($C$18/(PI()))*SIN((PI()*D44)/($F$8)))+$B$3*D44)</f>
        <v>0.748211947751401</v>
      </c>
      <c r="F44" s="31">
        <f t="shared" si="5"/>
        <v>1.11354266802028</v>
      </c>
      <c r="G44" s="31"/>
      <c r="H44" s="31">
        <f t="shared" si="2"/>
        <v>16</v>
      </c>
      <c r="I44" s="31">
        <f>IF(H44=" "," ",($I$26-$D$3*$F$13)*((H44/$F$13)-($C$18/(PI()))*SIN((PI()*H44)/$F$13))+$D$3*H44)</f>
        <v>0.774041506698782</v>
      </c>
      <c r="J44" s="31">
        <f t="shared" si="6"/>
        <v>1.11783476412594</v>
      </c>
      <c r="K44" s="31">
        <f t="shared" si="3"/>
        <v>16</v>
      </c>
      <c r="L44" s="31">
        <f>IF(K44=" "," ",($L$26-$D$3*$F$12)*((K44/$F$12)-($C$18/(PI()))*SIN((PI()*K44)/$F$12))+$D$3*K44)</f>
        <v>0.75628769863455</v>
      </c>
      <c r="M44" s="31">
        <f t="shared" si="7"/>
        <v>1.11376731809109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0.865160058397291</v>
      </c>
      <c r="C45" s="31">
        <f t="shared" si="4"/>
        <v>1.10641570859012</v>
      </c>
      <c r="D45" s="31">
        <f t="shared" si="1"/>
        <v>17</v>
      </c>
      <c r="E45" s="31">
        <f>IF(D45=" "," ",($E$26-$B$3*($F$8))*((D45/($F$8))-($C$18/(PI()))*SIN((PI()*D45)/($F$8)))+$B$3*D45)</f>
        <v>0.865160058397291</v>
      </c>
      <c r="F45" s="31">
        <f t="shared" si="5"/>
        <v>1.10641570859012</v>
      </c>
      <c r="G45" s="31"/>
      <c r="H45" s="31">
        <f t="shared" si="2"/>
        <v>17</v>
      </c>
      <c r="I45" s="31">
        <f>IF(H45=" "," ",($I$26-$D$3*$F$13)*((H45/$F$13)-($C$18/(PI()))*SIN((PI()*H45)/$F$13))+$D$3*H45)</f>
        <v>0.897492928967001</v>
      </c>
      <c r="J45" s="31">
        <f t="shared" si="6"/>
        <v>1.11089483476069</v>
      </c>
      <c r="K45" s="31">
        <f t="shared" si="3"/>
        <v>17</v>
      </c>
      <c r="L45" s="31">
        <f>IF(K45=" "," ",($L$26-$D$3*$F$12)*((K45/$F$12)-($C$18/(PI()))*SIN((PI()*K45)/$F$12))+$D$3*K45)</f>
        <v>0.874783574654402</v>
      </c>
      <c r="M45" s="31">
        <f t="shared" si="7"/>
        <v>1.10660475077845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0.993782327582166</v>
      </c>
      <c r="C46" s="31">
        <f t="shared" si="4"/>
        <v>1.0998234043672</v>
      </c>
      <c r="D46" s="31">
        <f t="shared" si="1"/>
        <v>18</v>
      </c>
      <c r="E46" s="31">
        <f>IF(D46=" "," ",($E$26-$B$3*($F$8))*((D46/($F$8))-($C$18/(PI()))*SIN((PI()*D46)/($F$8)))+$B$3*D46)</f>
        <v>0.993782327582166</v>
      </c>
      <c r="F46" s="31">
        <f t="shared" si="5"/>
        <v>1.0998234043672</v>
      </c>
      <c r="G46" s="31"/>
      <c r="H46" s="31">
        <f t="shared" si="2"/>
        <v>18</v>
      </c>
      <c r="I46" s="31">
        <f>IF(H46=" "," ",($I$26-$D$3*$F$13)*((H46/$F$13)-($C$18/(PI()))*SIN((PI()*H46)/$F$13))+$D$3*H46)</f>
        <v>1.03384536857453</v>
      </c>
      <c r="J46" s="31">
        <f t="shared" si="6"/>
        <v>1.10450278419053</v>
      </c>
      <c r="K46" s="31">
        <f t="shared" si="3"/>
        <v>18</v>
      </c>
      <c r="L46" s="31">
        <f>IF(K46=" "," ",($L$26-$D$3*$F$12)*((K46/$F$12)-($C$18/(PI()))*SIN((PI()*K46)/$F$12))+$D$3*K46)</f>
        <v>1.00512710115894</v>
      </c>
      <c r="M46" s="31">
        <f t="shared" si="7"/>
        <v>1.09998365244963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1.13445870373827</v>
      </c>
      <c r="C47" s="31">
        <f t="shared" si="4"/>
        <v>1.09371710705789</v>
      </c>
      <c r="D47" s="31">
        <f t="shared" si="1"/>
        <v>19</v>
      </c>
      <c r="E47" s="31">
        <f>IF(D47=" "," ",($E$26-$B$3*($F$8))*((D47/($F$8))-($C$18/(PI()))*SIN((PI()*D47)/($F$8)))+$B$3*D47)</f>
        <v>1.13445870373827</v>
      </c>
      <c r="F47" s="31">
        <f t="shared" si="5"/>
        <v>1.09371710705789</v>
      </c>
      <c r="G47" s="31"/>
      <c r="H47" s="31">
        <f t="shared" si="2"/>
        <v>19</v>
      </c>
      <c r="I47" s="31">
        <f>IF(H47=" "," ",($I$26-$D$3*$F$13)*((H47/$F$13)-($C$18/(PI()))*SIN((PI()*H47)/$F$13))+$D$3*H47)</f>
        <v>1.18364321481247</v>
      </c>
      <c r="J47" s="31">
        <f t="shared" si="6"/>
        <v>1.09860774526012</v>
      </c>
      <c r="K47" s="31">
        <f t="shared" si="3"/>
        <v>19</v>
      </c>
      <c r="L47" s="31">
        <f>IF(K47=" "," ",($L$26-$D$3*$F$12)*((K47/$F$12)-($C$18/(PI()))*SIN((PI()*K47)/$F$12))+$D$3*K47)</f>
        <v>1.14770387306811</v>
      </c>
      <c r="M47" s="31">
        <f t="shared" si="7"/>
        <v>1.0938538777698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1.28752156324462</v>
      </c>
      <c r="C48" s="31">
        <f t="shared" si="4"/>
        <v>1.08804949124158</v>
      </c>
      <c r="D48" s="31">
        <f t="shared" si="1"/>
        <v>20</v>
      </c>
      <c r="E48" s="31">
        <f>IF(D48=" "," ",($E$26-$B$3*($F$8))*((D48/($F$8))-($C$18/(PI()))*SIN((PI()*D48)/($F$8)))+$B$3*D48)</f>
        <v>1.28752156324462</v>
      </c>
      <c r="F48" s="31">
        <f t="shared" si="5"/>
        <v>1.08804949124158</v>
      </c>
      <c r="G48" s="31"/>
      <c r="H48" s="31">
        <f t="shared" si="2"/>
        <v>20</v>
      </c>
      <c r="I48" s="31">
        <f>IF(H48=" "," ",($I$26-$D$3*$F$13)*((H48/$F$13)-($C$18/(PI()))*SIN((PI()*H48)/$F$13))+$D$3*H48)</f>
        <v>1.34739634280596</v>
      </c>
      <c r="J48" s="31">
        <f t="shared" si="6"/>
        <v>1.09316076369599</v>
      </c>
      <c r="K48" s="31">
        <f t="shared" si="3"/>
        <v>20</v>
      </c>
      <c r="L48" s="31">
        <f>IF(K48=" "," ",($L$26-$D$3*$F$12)*((K48/$F$12)-($C$18/(PI()))*SIN((PI()*K48)/$F$12))+$D$3*K48)</f>
        <v>1.30285120627112</v>
      </c>
      <c r="M48" s="31">
        <f t="shared" si="7"/>
        <v>1.08816696524616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1.45325439868932</v>
      </c>
      <c r="C49" s="31">
        <f t="shared" si="4"/>
        <v>1.08277629190519</v>
      </c>
      <c r="D49" s="31">
        <f t="shared" si="1"/>
        <v>21</v>
      </c>
      <c r="E49" s="31">
        <f>IF(D49=" "," ",($E$26-$B$3*($F$8))*((D49/($F$8))-($C$18/(PI()))*SIN((PI()*D49)/($F$8)))+$B$3*D49)</f>
        <v>1.45325439868932</v>
      </c>
      <c r="F49" s="31">
        <f t="shared" si="5"/>
        <v>1.08277629190519</v>
      </c>
      <c r="G49" s="31"/>
      <c r="H49" s="31">
        <f t="shared" si="2"/>
        <v>21</v>
      </c>
      <c r="I49" s="31">
        <f>IF(H49=" "," ",($I$26-$D$3*$F$13)*((H49/$F$13)-($C$18/(PI()))*SIN((PI()*H49)/$F$13))+$D$3*H49)</f>
        <v>1.52557880467199</v>
      </c>
      <c r="J49" s="31">
        <f t="shared" si="6"/>
        <v>1.08811638622942</v>
      </c>
      <c r="K49" s="31">
        <f t="shared" si="3"/>
        <v>21</v>
      </c>
      <c r="L49" s="31">
        <f>IF(K49=" "," ",($L$26-$D$3*$F$12)*((K49/$F$12)-($C$18/(PI()))*SIN((PI()*K49)/$F$12))+$D$3*K49)</f>
        <v>1.47085680639465</v>
      </c>
      <c r="M49" s="31">
        <f t="shared" si="7"/>
        <v>1.08287778239606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1.63189070005378</v>
      </c>
      <c r="C50" s="31">
        <f t="shared" si="4"/>
        <v>1.07785702745711</v>
      </c>
      <c r="D50" s="31">
        <f t="shared" si="1"/>
        <v>22</v>
      </c>
      <c r="E50" s="31">
        <f>IF(D50=" "," ",($E$26-$B$3*($F$8))*((D50/($F$8))-($C$18/(PI()))*SIN((PI()*D50)/($F$8)))+$B$3*D50)</f>
        <v>1.63189070005378</v>
      </c>
      <c r="F50" s="31">
        <f t="shared" si="5"/>
        <v>1.07785702745711</v>
      </c>
      <c r="G50" s="31"/>
      <c r="H50" s="31">
        <f t="shared" si="2"/>
        <v>22</v>
      </c>
      <c r="I50" s="31">
        <f>IF(H50=" "," ",($I$26-$D$3*$F$13)*((H50/$F$13)-($C$18/(PI()))*SIN((PI()*H50)/$F$13))+$D$3*H50)</f>
        <v>1.71862761263448</v>
      </c>
      <c r="J50" s="31">
        <f t="shared" si="6"/>
        <v>1.0834332736273</v>
      </c>
      <c r="K50" s="31">
        <f t="shared" si="3"/>
        <v>22</v>
      </c>
      <c r="L50" s="31">
        <f>IF(K50=" "," ",($L$26-$D$3*$F$12)*((K50/$F$12)-($C$18/(PI()))*SIN((PI()*K50)/$F$12))+$D$3*K50)</f>
        <v>1.65195763336025</v>
      </c>
      <c r="M50" s="31">
        <f t="shared" si="7"/>
        <v>1.07794518059188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1.82361303323447</v>
      </c>
      <c r="C51" s="31">
        <f t="shared" si="4"/>
        <v>1.07325516547464</v>
      </c>
      <c r="D51" s="31">
        <f t="shared" si="1"/>
        <v>23</v>
      </c>
      <c r="E51" s="31">
        <f>IF(D51=" "," ",($E$26-$B$3*($F$8))*((D51/($F$8))-($C$18/(PI()))*SIN((PI()*D51)/($F$8)))+$B$3*D51)</f>
        <v>1.82361303323447</v>
      </c>
      <c r="F51" s="31">
        <f t="shared" si="5"/>
        <v>1.07325516547464</v>
      </c>
      <c r="G51" s="31"/>
      <c r="H51" s="31">
        <f t="shared" si="2"/>
        <v>23</v>
      </c>
      <c r="I51" s="31">
        <f>IF(H51=" "," ",($I$26-$D$3*$F$13)*((H51/$F$13)-($C$18/(PI()))*SIN((PI()*H51)/$F$13))+$D$3*H51)</f>
        <v>1.92694161722011</v>
      </c>
      <c r="J51" s="31">
        <f t="shared" si="6"/>
        <v>1.07907428584643</v>
      </c>
      <c r="K51" s="31">
        <f t="shared" si="3"/>
        <v>23</v>
      </c>
      <c r="L51" s="31">
        <f>IF(K51=" "," ",($L$26-$D$3*$F$12)*((K51/$F$12)-($C$18/(PI()))*SIN((PI()*K51)/$F$12))+$D$3*K51)</f>
        <v>1.84633896621178</v>
      </c>
      <c r="M51" s="31">
        <f t="shared" si="7"/>
        <v>1.07333211067249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2.02855231953872</v>
      </c>
      <c r="C52" s="31">
        <f t="shared" si="4"/>
        <v>1.06893799436033</v>
      </c>
      <c r="D52" s="31">
        <f t="shared" si="1"/>
        <v>24</v>
      </c>
      <c r="E52" s="31">
        <f>IF(D52=" "," ",($E$26-$B$3*($F$8))*((D52/($F$8))-($C$18/(PI()))*SIN((PI()*D52)/($F$8)))+$B$3*D52)</f>
        <v>2.02855231953872</v>
      </c>
      <c r="F52" s="31">
        <f t="shared" si="5"/>
        <v>1.06893799436033</v>
      </c>
      <c r="G52" s="31"/>
      <c r="H52" s="31">
        <f t="shared" si="2"/>
        <v>24</v>
      </c>
      <c r="I52" s="31">
        <f>IF(H52=" "," ",($I$26-$D$3*$F$13)*((H52/$F$13)-($C$18/(PI()))*SIN((PI()*H52)/$F$13))+$D$3*H52)</f>
        <v>2.15088048341477</v>
      </c>
      <c r="J52" s="31">
        <f t="shared" si="6"/>
        <v>1.07500629465654</v>
      </c>
      <c r="K52" s="31">
        <f t="shared" si="3"/>
        <v>24</v>
      </c>
      <c r="L52" s="31">
        <f>IF(K52=" "," ",($L$26-$D$3*$F$12)*((K52/$F$12)-($C$18/(PI()))*SIN((PI()*K52)/$F$12))+$D$3*K52)</f>
        <v>2.05413367190362</v>
      </c>
      <c r="M52" s="31">
        <f t="shared" si="7"/>
        <v>1.0690054576926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2.24678731899814</v>
      </c>
      <c r="C53" s="31">
        <f t="shared" si="4"/>
        <v>1.06487635140597</v>
      </c>
      <c r="D53" s="31">
        <f t="shared" si="1"/>
        <v>25</v>
      </c>
      <c r="E53" s="31">
        <f>IF(D53=" "," ",($E$26-$B$3*($F$8))*((D53/($F$8))-($C$18/(PI()))*SIN((PI()*D53)/($F$8)))+$B$3*D53)</f>
        <v>2.24678731899814</v>
      </c>
      <c r="F53" s="31">
        <f t="shared" si="5"/>
        <v>1.06487635140597</v>
      </c>
      <c r="G53" s="31"/>
      <c r="H53" s="31">
        <f t="shared" si="2"/>
        <v>25</v>
      </c>
      <c r="I53" s="31">
        <f>IF(H53=" "," ",($I$26-$D$3*$F$13)*((H53/$F$13)-($C$18/(PI()))*SIN((PI()*H53)/$F$13))+$D$3*H53)</f>
        <v>2.3907637674087</v>
      </c>
      <c r="J53" s="31">
        <f t="shared" si="6"/>
        <v>1.07119986838465</v>
      </c>
      <c r="K53" s="31">
        <f t="shared" si="3"/>
        <v>25</v>
      </c>
      <c r="L53" s="31">
        <f>IF(K53=" "," ",($L$26-$D$3*$F$12)*((K53/$F$12)-($C$18/(PI()))*SIN((PI()*K53)/$F$12))+$D$3*K53)</f>
        <v>2.27542168093557</v>
      </c>
      <c r="M53" s="31">
        <f t="shared" si="7"/>
        <v>1.06493574172247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2.47834431953872</v>
      </c>
      <c r="C54" s="31">
        <f t="shared" si="4"/>
        <v>1.06104429222707</v>
      </c>
      <c r="D54" s="31">
        <f t="shared" si="1"/>
        <v>26</v>
      </c>
      <c r="E54" s="31">
        <f>IF(D54=" "," ",($E$26-$B$3*($F$8))*((D54/($F$8))-($C$18/(PI()))*SIN((PI()*D54)/($F$8)))+$B$3*D54)</f>
        <v>2.47834431953872</v>
      </c>
      <c r="F54" s="31">
        <f t="shared" si="5"/>
        <v>1.06104429222707</v>
      </c>
      <c r="G54" s="31"/>
      <c r="H54" s="31">
        <f t="shared" si="2"/>
        <v>26</v>
      </c>
      <c r="I54" s="31">
        <f>IF(H54=" "," ",($I$26-$D$3*$F$13)*((H54/$F$13)-($C$18/(PI()))*SIN((PI()*H54)/$F$13))+$D$3*H54)</f>
        <v>2.64687009630031</v>
      </c>
      <c r="J54" s="31">
        <f t="shared" si="6"/>
        <v>1.06762890947458</v>
      </c>
      <c r="K54" s="31">
        <f t="shared" si="3"/>
        <v>26</v>
      </c>
      <c r="L54" s="31">
        <f>IF(K54=" "," ",($L$26-$D$3*$F$12)*((K54/$F$12)-($C$18/(PI()))*SIN((PI()*K54)/$F$12))+$D$3*K54)</f>
        <v>2.51022967190362</v>
      </c>
      <c r="M54" s="31">
        <f t="shared" si="7"/>
        <v>1.06109676703791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2.72319703323447</v>
      </c>
      <c r="C55" s="31">
        <f t="shared" si="4"/>
        <v>1.05741874840372</v>
      </c>
      <c r="D55" s="31">
        <f t="shared" si="1"/>
        <v>27</v>
      </c>
      <c r="E55" s="31">
        <f>IF(D55=" "," ",($E$26-$B$3*($F$8))*((D55/($F$8))-($C$18/(PI()))*SIN((PI()*D55)/($F$8)))+$B$3*D55)</f>
        <v>2.72319703323447</v>
      </c>
      <c r="F55" s="31">
        <f t="shared" si="5"/>
        <v>1.05741874840372</v>
      </c>
      <c r="G55" s="31"/>
      <c r="H55" s="31">
        <f t="shared" si="2"/>
        <v>27</v>
      </c>
      <c r="I55" s="31">
        <f>IF(H55=" "," ",($I$26-$D$3*$F$13)*((H55/$F$13)-($C$18/(PI()))*SIN((PI()*H55)/$F$13))+$D$3*H55)</f>
        <v>2.91943645286446</v>
      </c>
      <c r="J55" s="31">
        <f t="shared" si="6"/>
        <v>1.06427028860927</v>
      </c>
      <c r="K55" s="31">
        <f t="shared" si="3"/>
        <v>27</v>
      </c>
      <c r="L55" s="31">
        <f>IF(K55=" "," ",($L$26-$D$3*$F$12)*((K55/$F$12)-($C$18/(PI()))*SIN((PI()*K55)/$F$12))+$D$3*K55)</f>
        <v>2.75853096621178</v>
      </c>
      <c r="M55" s="31">
        <f t="shared" si="7"/>
        <v>1.05746526463802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2.98126670005378</v>
      </c>
      <c r="C56" s="31">
        <f t="shared" si="4"/>
        <v>1.05397919804142</v>
      </c>
      <c r="D56" s="31">
        <f t="shared" si="1"/>
        <v>28</v>
      </c>
      <c r="E56" s="31">
        <f>IF(D56=" "," ",($E$26-$B$3*($F$8))*((D56/($F$8))-($C$18/(PI()))*SIN((PI()*D56)/($F$8)))+$B$3*D56)</f>
        <v>2.98126670005378</v>
      </c>
      <c r="F56" s="31">
        <f t="shared" si="5"/>
        <v>1.05397919804142</v>
      </c>
      <c r="G56" s="31"/>
      <c r="H56" s="31">
        <f t="shared" si="2"/>
        <v>28</v>
      </c>
      <c r="I56" s="31">
        <f>IF(H56=" "," ",($I$26-$D$3*$F$13)*((H56/$F$13)-($C$18/(PI()))*SIN((PI()*H56)/$F$13))+$D$3*H56)</f>
        <v>3.20865756722101</v>
      </c>
      <c r="J56" s="31">
        <f t="shared" si="6"/>
        <v>1.06110349788708</v>
      </c>
      <c r="K56" s="31">
        <f t="shared" si="3"/>
        <v>28</v>
      </c>
      <c r="L56" s="31">
        <f>IF(K56=" "," ",($L$26-$D$3*$F$12)*((K56/$F$12)-($C$18/(PI()))*SIN((PI()*K56)/$F$12))+$D$3*K56)</f>
        <v>3.02024563336025</v>
      </c>
      <c r="M56" s="31">
        <f t="shared" si="7"/>
        <v>1.05402055143406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3.25242239868932</v>
      </c>
      <c r="C57" s="31">
        <f t="shared" si="4"/>
        <v>1.05070736122348</v>
      </c>
      <c r="D57" s="31">
        <f t="shared" si="1"/>
        <v>29</v>
      </c>
      <c r="E57" s="31">
        <f>IF(D57=" "," ",($E$26-$B$3*($F$8))*((D57/($F$8))-($C$18/(PI()))*SIN((PI()*D57)/($F$8)))+$B$3*D57)</f>
        <v>3.25242239868932</v>
      </c>
      <c r="F57" s="31">
        <f t="shared" si="5"/>
        <v>1.05070736122348</v>
      </c>
      <c r="G57" s="31"/>
      <c r="H57" s="31">
        <f t="shared" si="2"/>
        <v>29</v>
      </c>
      <c r="I57" s="31">
        <f>IF(H57=" "," ",($I$26-$D$3*$F$13)*((H57/$F$13)-($C$18/(PI()))*SIN((PI()*H57)/$F$13))+$D$3*H57)</f>
        <v>3.51468541696545</v>
      </c>
      <c r="J57" s="31">
        <f t="shared" si="6"/>
        <v>1.05811033342184</v>
      </c>
      <c r="K57" s="31">
        <f t="shared" si="3"/>
        <v>29</v>
      </c>
      <c r="L57" s="31">
        <f>IF(K57=" "," ",($L$26-$D$3*$F$12)*((K57/$F$12)-($C$18/(PI()))*SIN((PI()*K57)/$F$12))+$D$3*K57)</f>
        <v>3.29524080639465</v>
      </c>
      <c r="M57" s="31">
        <f t="shared" si="7"/>
        <v>1.05074421709191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3.53648156324462</v>
      </c>
      <c r="C58" s="31">
        <f t="shared" si="4"/>
        <v>1.04758692509393</v>
      </c>
      <c r="D58" s="31">
        <f t="shared" si="1"/>
        <v>30</v>
      </c>
      <c r="E58" s="31">
        <f>IF(D58=" "," ",($E$26-$B$3*($F$8))*((D58/($F$8))-($C$18/(PI()))*SIN((PI()*D58)/($F$8)))+$B$3*D58)</f>
        <v>3.53648156324462</v>
      </c>
      <c r="F58" s="31">
        <f t="shared" si="5"/>
        <v>1.04758692509393</v>
      </c>
      <c r="G58" s="31"/>
      <c r="H58" s="31">
        <f t="shared" si="2"/>
        <v>30</v>
      </c>
      <c r="I58" s="31">
        <f>IF(H58=" "," ",($I$26-$D$3*$F$13)*((H58/$F$13)-($C$18/(PI()))*SIN((PI()*H58)/$F$13))+$D$3*H58)</f>
        <v>3.83762883704458</v>
      </c>
      <c r="J58" s="31">
        <f t="shared" si="6"/>
        <v>1.05527461095064</v>
      </c>
      <c r="K58" s="31">
        <f t="shared" si="3"/>
        <v>30</v>
      </c>
      <c r="L58" s="31">
        <f>IF(K58=" "," ",($L$26-$D$3*$F$12)*((K58/$F$12)-($C$18/(PI()))*SIN((PI()*K58)/$F$12))+$D$3*K58)</f>
        <v>3.58333120627112</v>
      </c>
      <c r="M58" s="31">
        <f t="shared" si="7"/>
        <v>1.04761984255061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3.83321070373827</v>
      </c>
      <c r="C59" s="31">
        <f t="shared" si="4"/>
        <v>1.04460329930977</v>
      </c>
      <c r="D59" s="31">
        <f t="shared" si="1"/>
        <v>31</v>
      </c>
      <c r="E59" s="31">
        <f>IF(D59=" "," ",($E$26-$B$3*($F$8))*((D59/($F$8))-($C$18/(PI()))*SIN((PI()*D59)/($F$8)))+$B$3*D59)</f>
        <v>3.83321070373827</v>
      </c>
      <c r="F59" s="31">
        <f t="shared" si="5"/>
        <v>1.04460329930977</v>
      </c>
      <c r="G59" s="31"/>
      <c r="H59" s="31">
        <f t="shared" si="2"/>
        <v>31</v>
      </c>
      <c r="I59" s="31">
        <f>IF(H59=" "," ",($I$26-$D$3*$F$13)*((H59/$F$13)-($C$18/(PI()))*SIN((PI()*H59)/$F$13))+$D$3*H59)</f>
        <v>4.17755324037874</v>
      </c>
      <c r="J59" s="31">
        <f t="shared" si="6"/>
        <v>1.05258191435166</v>
      </c>
      <c r="K59" s="31">
        <f t="shared" si="3"/>
        <v>31</v>
      </c>
      <c r="L59" s="31">
        <f>IF(K59=" "," ",($L$26-$D$3*$F$12)*((K59/$F$12)-($C$18/(PI()))*SIN((PI()*K59)/$F$12))+$D$3*K59)</f>
        <v>3.88427987306811</v>
      </c>
      <c r="M59" s="31">
        <f t="shared" si="7"/>
        <v>1.04463275043543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4.14232632758217</v>
      </c>
      <c r="C60" s="31">
        <f t="shared" si="4"/>
        <v>1.0417434004953</v>
      </c>
      <c r="D60" s="31">
        <f t="shared" si="1"/>
        <v>32</v>
      </c>
      <c r="E60" s="31">
        <f>IF(D60=" "," ",($E$26-$B$3*($F$8))*((D60/($F$8))-($C$18/(PI()))*SIN((PI()*D60)/($F$8)))+$B$3*D60)</f>
        <v>4.14232632758217</v>
      </c>
      <c r="F60" s="31">
        <f t="shared" si="5"/>
        <v>1.0417434004953</v>
      </c>
      <c r="G60" s="31"/>
      <c r="H60" s="31">
        <f t="shared" si="2"/>
        <v>32</v>
      </c>
      <c r="I60" s="31">
        <f>IF(H60=" "," ",($I$26-$D$3*$F$13)*((H60/$F$13)-($C$18/(PI()))*SIN((PI()*H60)/$F$13))+$D$3*H60)</f>
        <v>4.5344804499478</v>
      </c>
      <c r="J60" s="31">
        <f t="shared" si="6"/>
        <v>1.05001937509674</v>
      </c>
      <c r="K60" s="31">
        <f t="shared" si="3"/>
        <v>32</v>
      </c>
      <c r="L60" s="31">
        <f>IF(K60=" "," ",($L$26-$D$3*$F$12)*((K60/$F$12)-($C$18/(PI()))*SIN((PI()*K60)/$F$12))+$D$3*K60)</f>
        <v>4.19779910115894</v>
      </c>
      <c r="M60" s="31">
        <f t="shared" si="7"/>
        <v>1.04176978561698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4.46349605839729</v>
      </c>
      <c r="C61" s="31">
        <f t="shared" si="4"/>
        <v>1.03899546331995</v>
      </c>
      <c r="D61" s="31">
        <f t="shared" si="1"/>
        <v>33</v>
      </c>
      <c r="E61" s="31">
        <f>IF(D61=" "," ",($E$26-$B$3*($F$8))*((D61/($F$8))-($C$18/(PI()))*SIN((PI()*D61)/($F$8)))+$B$3*D61)</f>
        <v>4.46349605839729</v>
      </c>
      <c r="F61" s="31">
        <f t="shared" si="5"/>
        <v>1.03899546331995</v>
      </c>
      <c r="G61" s="31"/>
      <c r="H61" s="31">
        <f t="shared" si="2"/>
        <v>33</v>
      </c>
      <c r="I61" s="31">
        <f>IF(H61=" "," ",($I$26-$D$3*$F$13)*((H61/$F$13)-($C$18/(PI()))*SIN((PI()*H61)/$F$13))+$D$3*H61)</f>
        <v>4.9083886427719</v>
      </c>
      <c r="J61" s="31">
        <f t="shared" si="6"/>
        <v>1.04757547981711</v>
      </c>
      <c r="K61" s="31">
        <f t="shared" si="3"/>
        <v>33</v>
      </c>
      <c r="L61" s="31">
        <f>IF(K61=" "," ",($L$26-$D$3*$F$12)*((K61/$F$12)-($C$18/(PI()))*SIN((PI()*K61)/$F$12))+$D$3*K61)</f>
        <v>4.5235515746544</v>
      </c>
      <c r="M61" s="31">
        <f t="shared" si="7"/>
        <v>1.03901912325804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4.7963399477514</v>
      </c>
      <c r="C62" s="31">
        <f t="shared" si="4"/>
        <v>1.03634887543529</v>
      </c>
      <c r="D62" s="31">
        <f t="shared" si="1"/>
        <v>34</v>
      </c>
      <c r="E62" s="31">
        <f>IF(D62=" "," ",($E$26-$B$3*($F$8))*((D62/($F$8))-($C$18/(PI()))*SIN((PI()*D62)/($F$8)))+$B$3*D62)</f>
        <v>4.7963399477514</v>
      </c>
      <c r="F62" s="31">
        <f t="shared" si="5"/>
        <v>1.03634887543529</v>
      </c>
      <c r="G62" s="31"/>
      <c r="H62" s="31">
        <f t="shared" si="2"/>
        <v>34</v>
      </c>
      <c r="I62" s="31">
        <f>IF(H62=" "," ",($I$26-$D$3*$F$13)*((H62/$F$13)-($C$18/(PI()))*SIN((PI()*H62)/$F$13))+$D$3*H62)</f>
        <v>5.29921240593068</v>
      </c>
      <c r="J62" s="31">
        <f t="shared" si="6"/>
        <v>1.04523990289414</v>
      </c>
      <c r="K62" s="31">
        <f t="shared" si="3"/>
        <v>34</v>
      </c>
      <c r="L62" s="31">
        <f>IF(K62=" "," ",($L$26-$D$3*$F$12)*((K62/$F$12)-($C$18/(PI()))*SIN((PI()*K62)/$F$12))+$D$3*K62)</f>
        <v>4.86115169863455</v>
      </c>
      <c r="M62" s="31">
        <f t="shared" si="7"/>
        <v>1.03637010137653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5.14043197464191</v>
      </c>
      <c r="C63" s="31">
        <f t="shared" si="4"/>
        <v>1.03379403346784</v>
      </c>
      <c r="D63" s="31">
        <f t="shared" si="1"/>
        <v>35</v>
      </c>
      <c r="E63" s="31">
        <f>IF(D63=" "," ",($E$26-$B$3*($F$8))*((D63/($F$8))-($C$18/(PI()))*SIN((PI()*D63)/($F$8)))+$B$3*D63)</f>
        <v>5.14043197464191</v>
      </c>
      <c r="F63" s="31">
        <f t="shared" si="5"/>
        <v>1.03379403346784</v>
      </c>
      <c r="G63" s="31"/>
      <c r="H63" s="31">
        <f t="shared" si="2"/>
        <v>35</v>
      </c>
      <c r="I63" s="31">
        <f>IF(H63=" "," ",($I$26-$D$3*$F$13)*((H63/$F$13)-($C$18/(PI()))*SIN((PI()*H63)/$F$13))+$D$3*H63)</f>
        <v>5.70684290447736</v>
      </c>
      <c r="J63" s="31">
        <f t="shared" si="6"/>
        <v>1.04300336103429</v>
      </c>
      <c r="K63" s="31">
        <f t="shared" si="3"/>
        <v>35</v>
      </c>
      <c r="L63" s="31">
        <f>IF(K63=" "," ",($L$26-$D$3*$F$12)*((K63/$F$12)-($C$18/(PI()))*SIN((PI()*K63)/$F$12))+$D$3*K63)</f>
        <v>5.21016712091564</v>
      </c>
      <c r="M63" s="31">
        <f t="shared" si="7"/>
        <v>1.03381307496678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5.49530172680618</v>
      </c>
      <c r="C64" s="31">
        <f t="shared" si="4"/>
        <v>1.03132221740547</v>
      </c>
      <c r="D64" s="31">
        <f t="shared" si="1"/>
        <v>36</v>
      </c>
      <c r="E64" s="31">
        <f>IF(D64=" "," ",($E$26-$B$3*($F$8))*((D64/($F$8))-($C$18/(PI()))*SIN((PI()*D64)/($F$8)))+$B$3*D64)</f>
        <v>5.49530172680618</v>
      </c>
      <c r="F64" s="31">
        <f t="shared" si="5"/>
        <v>1.03132221740547</v>
      </c>
      <c r="G64" s="31"/>
      <c r="H64" s="31">
        <f t="shared" si="2"/>
        <v>36</v>
      </c>
      <c r="I64" s="31">
        <f>IF(H64=" "," ",($I$26-$D$3*$F$13)*((H64/$F$13)-($C$18/(PI()))*SIN((PI()*H64)/$F$13))+$D$3*H64)</f>
        <v>6.13112816081644</v>
      </c>
      <c r="J64" s="31">
        <f t="shared" si="6"/>
        <v>1.0408574869932</v>
      </c>
      <c r="K64" s="31">
        <f t="shared" si="3"/>
        <v>36</v>
      </c>
      <c r="L64" s="31">
        <f>IF(K64=" "," ",($L$26-$D$3*$F$12)*((K64/$F$12)-($C$18/(PI()))*SIN((PI()*K64)/$F$12))+$D$3*K64)</f>
        <v>5.57012043834667</v>
      </c>
      <c r="M64" s="31">
        <f t="shared" si="7"/>
        <v>1.03133928890152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5.86043625722376</v>
      </c>
      <c r="C65" s="31">
        <f t="shared" si="4"/>
        <v>1.02892548094256</v>
      </c>
      <c r="D65" s="31">
        <f t="shared" si="1"/>
        <v>37</v>
      </c>
      <c r="E65" s="31">
        <f>IF(D65=" "," ",($E$26-$B$3*($F$8))*((D65/($F$8))-($C$18/(PI()))*SIN((PI()*D65)/($F$8)))+$B$3*D65)</f>
        <v>5.86043625722376</v>
      </c>
      <c r="F65" s="31">
        <f t="shared" si="5"/>
        <v>1.02892548094256</v>
      </c>
      <c r="G65" s="31"/>
      <c r="H65" s="31">
        <f t="shared" si="2"/>
        <v>37</v>
      </c>
      <c r="I65" s="31">
        <f>IF(H65=" "," ",($I$26-$D$3*$F$13)*((H65/$F$13)-($C$18/(PI()))*SIN((PI()*H65)/$F$13))+$D$3*H65)</f>
        <v>6.57187344482805</v>
      </c>
      <c r="J65" s="31">
        <f t="shared" si="6"/>
        <v>1.03879471988858</v>
      </c>
      <c r="K65" s="31">
        <f t="shared" si="3"/>
        <v>37</v>
      </c>
      <c r="L65" s="31">
        <f>IF(K65=" "," ",($L$26-$D$3*$F$12)*((K65/$F$12)-($C$18/(PI()))*SIN((PI()*K65)/$F$12))+$D$3*K65)</f>
        <v>5.94049108090157</v>
      </c>
      <c r="M65" s="31">
        <f t="shared" si="7"/>
        <v>1.02894076709227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6.23528210848399</v>
      </c>
      <c r="C66" s="31">
        <f t="shared" si="4"/>
        <v>1.02659655560799</v>
      </c>
      <c r="D66" s="31">
        <f t="shared" si="1"/>
        <v>38</v>
      </c>
      <c r="E66" s="31">
        <f>IF(D66=" "," ",($E$26-$B$3*($F$8))*((D66/($F$8))-($C$18/(PI()))*SIN((PI()*D66)/($F$8)))+$B$3*D66)</f>
        <v>6.23528210848399</v>
      </c>
      <c r="F66" s="31">
        <f t="shared" si="5"/>
        <v>1.02659655560799</v>
      </c>
      <c r="G66" s="31"/>
      <c r="H66" s="31">
        <f t="shared" si="2"/>
        <v>38</v>
      </c>
      <c r="I66" s="31">
        <f>IF(H66=" "," ",($I$26-$D$3*$F$13)*((H66/$F$13)-($C$18/(PI()))*SIN((PI()*H66)/$F$13))+$D$3*H66)</f>
        <v>7.02884177373735</v>
      </c>
      <c r="J66" s="31">
        <f t="shared" si="6"/>
        <v>1.036808209835</v>
      </c>
      <c r="K66" s="31">
        <f t="shared" si="3"/>
        <v>38</v>
      </c>
      <c r="L66" s="31">
        <f>IF(K66=" "," ",($L$26-$D$3*$F$12)*((K66/$F$12)-($C$18/(PI()))*SIN((PI()*K66)/$F$12))+$D$3*K66)</f>
        <v>6.3207173661312</v>
      </c>
      <c r="M66" s="31">
        <f t="shared" si="7"/>
        <v>1.02661021566595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6.61924749702952</v>
      </c>
      <c r="C67" s="31">
        <f t="shared" si="4"/>
        <v>1.02432876675742</v>
      </c>
      <c r="D67" s="31">
        <f t="shared" si="1"/>
        <v>39</v>
      </c>
      <c r="E67" s="31">
        <f>IF(D67=" "," ",($E$26-$B$3*($F$8))*((D67/($F$8))-($C$18/(PI()))*SIN((PI()*D67)/($F$8)))+$B$3*D67)</f>
        <v>6.61924749702952</v>
      </c>
      <c r="F67" s="31">
        <f t="shared" si="5"/>
        <v>1.02432876675742</v>
      </c>
      <c r="G67" s="31"/>
      <c r="H67" s="31">
        <f t="shared" si="2"/>
        <v>39</v>
      </c>
      <c r="I67" s="31">
        <f>IF(H67=" "," ",($I$26-$D$3*$F$13)*((H67/$F$13)-($C$18/(PI()))*SIN((PI()*H67)/$F$13))+$D$3*H67)</f>
        <v>7.50175452044591</v>
      </c>
      <c r="J67" s="31">
        <f t="shared" si="6"/>
        <v>1.03489173492029</v>
      </c>
      <c r="K67" s="31">
        <f t="shared" si="3"/>
        <v>39</v>
      </c>
      <c r="L67" s="31">
        <f>IF(K67=" "," ",($L$26-$D$3*$F$12)*((K67/$F$12)-($C$18/(PI()))*SIN((PI()*K67)/$F$12))+$D$3*K67)</f>
        <v>6.71019871586739</v>
      </c>
      <c r="M67" s="31">
        <f t="shared" si="7"/>
        <v>1.02434093818891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7.01170464865565</v>
      </c>
      <c r="C68" s="31">
        <f t="shared" si="4"/>
        <v>1.02211595975555</v>
      </c>
      <c r="D68" s="31">
        <f t="shared" si="1"/>
        <v>40</v>
      </c>
      <c r="E68" s="31">
        <f>IF(D68=" "," ",($E$26-$B$3*($F$8))*((D68/($F$8))-($C$18/(PI()))*SIN((PI()*D68)/($F$8)))+$B$3*D68)</f>
        <v>7.01170464865565</v>
      </c>
      <c r="F68" s="31">
        <f t="shared" si="5"/>
        <v>1.02211595975555</v>
      </c>
      <c r="G68" s="31"/>
      <c r="H68" s="31">
        <f t="shared" si="2"/>
        <v>40</v>
      </c>
      <c r="I68" s="31">
        <f>IF(H68=" "," ",($I$26-$D$3*$F$13)*((H68/$F$13)-($C$18/(PI()))*SIN((PI()*H68)/$F$13))+$D$3*H68)</f>
        <v>7.99029212876351</v>
      </c>
      <c r="J68" s="31">
        <f t="shared" si="6"/>
        <v>1.03303962880633</v>
      </c>
      <c r="K68" s="31">
        <f t="shared" si="3"/>
        <v>40</v>
      </c>
      <c r="L68" s="31">
        <f>IF(K68=" "," ",($L$26-$D$3*$F$12)*((K68/$F$12)-($C$18/(PI()))*SIN((PI()*K68)/$F$12))+$D$3*K68)</f>
        <v>7.10829802643063</v>
      </c>
      <c r="M68" s="31">
        <f t="shared" si="7"/>
        <v>1.02212676122459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7.41199227604831</v>
      </c>
      <c r="C69" s="31">
        <f t="shared" si="4"/>
        <v>1.01995243489408</v>
      </c>
      <c r="D69" s="31">
        <f t="shared" si="1"/>
        <v>41</v>
      </c>
      <c r="E69" s="31">
        <f>IF(D69=" "," ",($E$26-$B$3*($F$8))*((D69/($F$8))-($C$18/(PI()))*SIN((PI()*D69)/($F$8)))+$B$3*D69)</f>
        <v>7.41199227604831</v>
      </c>
      <c r="F69" s="31">
        <f t="shared" si="5"/>
        <v>1.01995243489408</v>
      </c>
      <c r="G69" s="31"/>
      <c r="H69" s="31">
        <f t="shared" si="2"/>
        <v>41</v>
      </c>
      <c r="I69" s="31">
        <f>IF(H69=" "," ",($I$26-$D$3*$F$13)*((H69/$F$13)-($C$18/(PI()))*SIN((PI()*H69)/$F$13))+$D$3*H69)</f>
        <v>8.49409493370425</v>
      </c>
      <c r="J69" s="31">
        <f t="shared" si="6"/>
        <v>1.03124671747526</v>
      </c>
      <c r="K69" s="31">
        <f t="shared" si="3"/>
        <v>41</v>
      </c>
      <c r="L69" s="31">
        <f>IF(K69=" "," ",($L$26-$D$3*$F$12)*((K69/$F$12)-($C$18/(PI()))*SIN((PI()*K69)/$F$12))+$D$3*K69)</f>
        <v>7.51434418298717</v>
      </c>
      <c r="M69" s="31">
        <f t="shared" si="7"/>
        <v>1.01996196874106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7.81941818858301</v>
      </c>
      <c r="C70" s="31">
        <f t="shared" si="4"/>
        <v>1.01783288978611</v>
      </c>
      <c r="D70" s="31">
        <f t="shared" si="1"/>
        <v>42</v>
      </c>
      <c r="E70" s="31">
        <f>IF(D70=" "," ",($E$26-$B$3*($F$8))*((D70/($F$8))-($C$18/(PI()))*SIN((PI()*D70)/($F$8)))+$B$3*D70)</f>
        <v>7.81941818858301</v>
      </c>
      <c r="F70" s="31">
        <f t="shared" si="5"/>
        <v>1.01783288978611</v>
      </c>
      <c r="G70" s="31"/>
      <c r="H70" s="31">
        <f t="shared" si="2"/>
        <v>42</v>
      </c>
      <c r="I70" s="31">
        <f>IF(H70=" "," ",($I$26-$D$3*$F$13)*((H70/$F$13)-($C$18/(PI()))*SIN((PI()*H70)/$F$13))+$D$3*H70)</f>
        <v>9.01276408474144</v>
      </c>
      <c r="J70" s="31">
        <f t="shared" si="6"/>
        <v>1.02950826384978</v>
      </c>
      <c r="K70" s="31">
        <f t="shared" si="3"/>
        <v>42</v>
      </c>
      <c r="L70" s="31">
        <f>IF(K70=" "," ",($L$26-$D$3*$F$12)*((K70/$F$12)-($C$18/(PI()))*SIN((PI()*K70)/$F$12))+$D$3*K70)</f>
        <v>7.92763470813271</v>
      </c>
      <c r="M70" s="31">
        <f t="shared" si="7"/>
        <v>1.01784124408525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8.23326202408495</v>
      </c>
      <c r="C71" s="31">
        <f t="shared" si="4"/>
        <v>1.01575236814791</v>
      </c>
      <c r="D71" s="31">
        <f t="shared" si="1"/>
        <v>43</v>
      </c>
      <c r="E71" s="31">
        <f>IF(D71=" "," ",($E$26-$B$3*($F$8))*((D71/($F$8))-($C$18/(PI()))*SIN((PI()*D71)/($F$8)))+$B$3*D71)</f>
        <v>8.23326202408495</v>
      </c>
      <c r="F71" s="31">
        <f t="shared" si="5"/>
        <v>1.01575236814791</v>
      </c>
      <c r="G71" s="31"/>
      <c r="H71" s="31">
        <f t="shared" si="2"/>
        <v>43</v>
      </c>
      <c r="I71" s="31">
        <f>IF(H71=" "," ",($I$26-$D$3*$F$13)*((H71/$F$13)-($C$18/(PI()))*SIN((PI()*H71)/$F$13))+$D$3*H71)</f>
        <v>9.54586256965118</v>
      </c>
      <c r="J71" s="31">
        <f t="shared" si="6"/>
        <v>1.02781991919839</v>
      </c>
      <c r="K71" s="31">
        <f t="shared" si="3"/>
        <v>43</v>
      </c>
      <c r="L71" s="31">
        <f>IF(K71=" "," ",($L$26-$D$3*$F$12)*((K71/$F$12)-($C$18/(PI()))*SIN((PI()*K71)/$F$12))+$D$3*K71)</f>
        <v>8.34743853424976</v>
      </c>
      <c r="M71" s="31">
        <f t="shared" si="7"/>
        <v>1.01575961841664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8.65277809176946</v>
      </c>
      <c r="C72" s="31">
        <f t="shared" si="4"/>
        <v>1.01370621402561</v>
      </c>
      <c r="D72" s="31">
        <f t="shared" si="1"/>
        <v>44</v>
      </c>
      <c r="E72" s="31">
        <f>IF(D72=" "," ",($E$26-$B$3*($F$8))*((D72/($F$8))-($C$18/(PI()))*SIN((PI()*D72)/($F$8)))+$B$3*D72)</f>
        <v>8.65277809176946</v>
      </c>
      <c r="F72" s="31">
        <f t="shared" si="5"/>
        <v>1.01370621402561</v>
      </c>
      <c r="G72" s="31"/>
      <c r="H72" s="31">
        <f t="shared" si="2"/>
        <v>44</v>
      </c>
      <c r="I72" s="31">
        <f>IF(H72=" "," ",($I$26-$D$3*$F$13)*((H72/$F$13)-($C$18/(PI()))*SIN((PI()*H72)/$F$13))+$D$3*H72)</f>
        <v>10.0929163363165</v>
      </c>
      <c r="J72" s="31">
        <f t="shared" si="6"/>
        <v>1.02617768039221</v>
      </c>
      <c r="K72" s="31">
        <f t="shared" si="3"/>
        <v>44</v>
      </c>
      <c r="L72" s="31">
        <f>IF(K72=" "," ",($L$26-$D$3*$F$12)*((K72/$F$12)-($C$18/(PI()))*SIN((PI()*K72)/$F$12))+$D$3*K72)</f>
        <v>8.77299888869754</v>
      </c>
      <c r="M72" s="31">
        <f t="shared" si="7"/>
        <v>1.01371242464361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9.07719831514285</v>
      </c>
      <c r="C73" s="31">
        <f t="shared" si="4"/>
        <v>1.01169003064875</v>
      </c>
      <c r="D73" s="31">
        <f t="shared" si="1"/>
        <v>45</v>
      </c>
      <c r="E73" s="31">
        <f>IF(D73=" "," ",($E$26-$B$3*($F$8))*((D73/($F$8))-($C$18/(PI()))*SIN((PI()*D73)/($F$8)))+$B$3*D73)</f>
        <v>9.07719831514285</v>
      </c>
      <c r="F73" s="31">
        <f t="shared" si="5"/>
        <v>1.01169003064875</v>
      </c>
      <c r="G73" s="31"/>
      <c r="H73" s="31">
        <f t="shared" si="2"/>
        <v>45</v>
      </c>
      <c r="I73" s="31">
        <f>IF(H73=" "," ",($I$26-$D$3*$F$13)*((H73/$F$13)-($C$18/(PI()))*SIN((PI()*H73)/$F$13))+$D$3*H73)</f>
        <v>10.6534155096122</v>
      </c>
      <c r="J73" s="31">
        <f t="shared" si="6"/>
        <v>1.02457785221438</v>
      </c>
      <c r="K73" s="31">
        <f t="shared" si="3"/>
        <v>45</v>
      </c>
      <c r="L73" s="31">
        <f>IF(K73=" "," ",($L$26-$D$3*$F$12)*((K73/$F$12)-($C$18/(PI()))*SIN((PI()*K73)/$F$12))+$D$3*K73)</f>
        <v>9.20353628044785</v>
      </c>
      <c r="M73" s="31">
        <f t="shared" si="7"/>
        <v>1.01169525603247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9.50573526324939</v>
      </c>
      <c r="C74" s="31">
        <f t="shared" si="4"/>
        <v>1.009699643199</v>
      </c>
      <c r="D74" s="31">
        <f t="shared" si="1"/>
        <v>46</v>
      </c>
      <c r="E74" s="31">
        <f>IF(D74=" "," ",($E$26-$B$3*($F$8))*((D74/($F$8))-($C$18/(PI()))*SIN((PI()*D74)/($F$8)))+$B$3*D74)</f>
        <v>9.50573526324939</v>
      </c>
      <c r="F74" s="31">
        <f t="shared" si="5"/>
        <v>1.009699643199</v>
      </c>
      <c r="G74" s="31"/>
      <c r="H74" s="31">
        <f t="shared" si="2"/>
        <v>46</v>
      </c>
      <c r="I74" s="31">
        <f>IF(H74=" "," ",($I$26-$D$3*$F$13)*((H74/$F$13)-($C$18/(PI()))*SIN((PI()*H74)/$F$13))+$D$3*H74)</f>
        <v>11.2268157002472</v>
      </c>
      <c r="J74" s="31">
        <f t="shared" si="6"/>
        <v>1.02301701403669</v>
      </c>
      <c r="K74" s="31">
        <f t="shared" si="3"/>
        <v>46</v>
      </c>
      <c r="L74" s="31">
        <f>IF(K74=" "," ",($L$26-$D$3*$F$12)*((K74/$F$12)-($C$18/(PI()))*SIN((PI()*K74)/$F$12))+$D$3*K74)</f>
        <v>9.63825157638006</v>
      </c>
      <c r="M74" s="31">
        <f t="shared" si="7"/>
        <v>1.00970392876891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9.93758525830163</v>
      </c>
      <c r="C75" s="31">
        <f t="shared" si="4"/>
        <v>1.0077310648716</v>
      </c>
      <c r="D75" s="31">
        <f t="shared" si="1"/>
        <v>47</v>
      </c>
      <c r="E75" s="31">
        <f>IF(D75=" "," ",($E$26-$B$3*($F$8))*((D75/($F$8))-($C$18/(PI()))*SIN((PI()*D75)/($F$8)))+$B$3*D75)</f>
        <v>9.93758525830163</v>
      </c>
      <c r="F75" s="31">
        <f t="shared" si="5"/>
        <v>1.0077310648716</v>
      </c>
      <c r="G75" s="31"/>
      <c r="H75" s="31">
        <f t="shared" si="2"/>
        <v>47</v>
      </c>
      <c r="I75" s="31">
        <f>IF(H75=" "," ",($I$26-$D$3*$F$13)*((H75/$F$13)-($C$18/(PI()))*SIN((PI()*H75)/$F$13))+$D$3*H75)</f>
        <v>11.8125394022039</v>
      </c>
      <c r="J75" s="31">
        <f t="shared" si="6"/>
        <v>1.02149199027659</v>
      </c>
      <c r="K75" s="31">
        <f t="shared" si="3"/>
        <v>47</v>
      </c>
      <c r="L75" s="31">
        <f>IF(K75=" "," ",($L$26-$D$3*$F$12)*((K75/$F$12)-($C$18/(PI()))*SIN((PI()*K75)/$F$12))+$D$3*K75)</f>
        <v>10.0763291550944</v>
      </c>
      <c r="M75" s="31">
        <f t="shared" si="7"/>
        <v>1.00773444784121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10.3719315474294</v>
      </c>
      <c r="C76" s="31">
        <f t="shared" si="4"/>
        <v>1.00578046568045</v>
      </c>
      <c r="D76" s="31">
        <f t="shared" si="1"/>
        <v>48</v>
      </c>
      <c r="E76" s="31">
        <f>IF(D76=" "," ",($E$26-$B$3*($F$8))*((D76/($F$8))-($C$18/(PI()))*SIN((PI()*D76)/($F$8)))+$B$3*D76)</f>
        <v>10.3719315474294</v>
      </c>
      <c r="F76" s="31">
        <f t="shared" si="5"/>
        <v>1.00578046568045</v>
      </c>
      <c r="G76" s="31"/>
      <c r="H76" s="31">
        <f t="shared" si="2"/>
        <v>48</v>
      </c>
      <c r="I76" s="31">
        <f>IF(H76=" "," ",($I$26-$D$3*$F$13)*((H76/$F$13)-($C$18/(PI()))*SIN((PI()*H76)/$F$13))+$D$3*H76)</f>
        <v>12.4099774751879</v>
      </c>
      <c r="J76" s="31">
        <f t="shared" si="6"/>
        <v>1.01999982412896</v>
      </c>
      <c r="K76" s="31">
        <f t="shared" si="3"/>
        <v>48</v>
      </c>
      <c r="L76" s="31">
        <f>IF(K76=" "," ",($L$26-$D$3*$F$12)*((K76/$F$12)-($C$18/(PI()))*SIN((PI()*K76)/$F$12))+$D$3*K76)</f>
        <v>10.5169401257972</v>
      </c>
      <c r="M76" s="31">
        <f t="shared" si="7"/>
        <v>1.00578297569074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10.8079475260302</v>
      </c>
      <c r="C77" s="31">
        <f t="shared" si="4"/>
        <v>1.00384414352061</v>
      </c>
      <c r="D77" s="31">
        <f t="shared" si="1"/>
        <v>49</v>
      </c>
      <c r="E77" s="31">
        <f>IF(D77=" "," ",($E$26-$B$3*($F$8))*((D77/($F$8))-($C$18/(PI()))*SIN((PI()*D77)/($F$8)))+$B$3*D77)</f>
        <v>10.8079475260302</v>
      </c>
      <c r="F77" s="31">
        <f t="shared" si="5"/>
        <v>1.00384414352061</v>
      </c>
      <c r="G77" s="31"/>
      <c r="H77" s="31">
        <f t="shared" si="2"/>
        <v>49</v>
      </c>
      <c r="I77" s="31">
        <f>IF(H77=" "," ",($I$26-$D$3*$F$13)*((H77/$F$13)-($C$18/(PI()))*SIN((PI()*H77)/$F$13))+$D$3*H77)</f>
        <v>13.0184907082824</v>
      </c>
      <c r="J77" s="31">
        <f t="shared" si="6"/>
        <v>1.01853775413937</v>
      </c>
      <c r="K77" s="31">
        <f t="shared" si="3"/>
        <v>49</v>
      </c>
      <c r="L77" s="31">
        <f>IF(K77=" "," ",($L$26-$D$3*$F$12)*((K77/$F$12)-($C$18/(PI()))*SIN((PI()*K77)/$F$12))+$D$3*K77)</f>
        <v>10.9592455995537</v>
      </c>
      <c r="M77" s="31">
        <f t="shared" si="7"/>
        <v>1.00384580313805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11.2448</v>
      </c>
      <c r="C78" s="31">
        <f t="shared" si="4"/>
        <v>1.00191849705082</v>
      </c>
      <c r="D78" s="31">
        <f t="shared" si="1"/>
        <v>50</v>
      </c>
      <c r="E78" s="31">
        <f>IF(D78=" "," ",($E$26-$B$3*($F$8))*((D78/($F$8))-($C$18/(PI()))*SIN((PI()*D78)/($F$8)))+$B$3*D78)</f>
        <v>11.2448</v>
      </c>
      <c r="F78" s="31">
        <f t="shared" si="5"/>
        <v>1.00191849705082</v>
      </c>
      <c r="G78" s="31"/>
      <c r="H78" s="31">
        <f t="shared" si="2"/>
        <v>50</v>
      </c>
      <c r="I78" s="31">
        <f>IF(H78=" "," ",($I$26-$D$3*$F$13)*((H78/$F$13)-($C$18/(PI()))*SIN((PI()*H78)/$F$13))+$D$3*H78)</f>
        <v>13.6374114607934</v>
      </c>
      <c r="J78" s="31">
        <f t="shared" si="6"/>
        <v>1.01710319324291</v>
      </c>
      <c r="K78" s="31">
        <f t="shared" si="3"/>
        <v>50</v>
      </c>
      <c r="L78" s="31">
        <f>IF(K78=" "," ",($L$26-$D$3*$F$12)*((K78/$F$12)-($C$18/(PI()))*SIN((PI()*K78)/$F$12))+$D$3*K78)</f>
        <v>11.4024</v>
      </c>
      <c r="M78" s="31">
        <f t="shared" si="7"/>
        <v>1.0019193221431</v>
      </c>
    </row>
    <row r="79" spans="1:13">
      <c r="A79" s="31" t="str">
        <f t="shared" si="0"/>
        <v> </v>
      </c>
      <c r="B79" s="31" t="str">
        <f>IF(A79=" "," ",($B$26-$B$3*($F$9))*((A79/($F$9))-($C$18/(PI()))*SIN((PI()*A79)/($F$9)))+$B$3*A79)</f>
        <v> </v>
      </c>
      <c r="C79" s="31" t="str">
        <f t="shared" si="4"/>
        <v> </v>
      </c>
      <c r="D79" s="31" t="str">
        <f t="shared" si="1"/>
        <v> </v>
      </c>
      <c r="E79" s="31" t="str">
        <f>IF(D79=" "," ",($E$26-$B$3*($F$8))*((D79/($F$8))-($C$18/(PI()))*SIN((PI()*D79)/($F$8)))+$B$3*D79)</f>
        <v> </v>
      </c>
      <c r="F79" s="31" t="str">
        <f t="shared" si="5"/>
        <v> </v>
      </c>
      <c r="G79" s="31"/>
      <c r="H79" s="31">
        <f t="shared" si="2"/>
        <v>51</v>
      </c>
      <c r="I79" s="31">
        <f>IF(H79=" "," ",($I$26-$D$3*$F$13)*((H79/$F$13)-($C$18/(PI()))*SIN((PI()*H79)/$F$13))+$D$3*H79)</f>
        <v>14.2660453760738</v>
      </c>
      <c r="J79" s="31">
        <f t="shared" si="6"/>
        <v>1.01569370994592</v>
      </c>
      <c r="K79" s="31" t="str">
        <f t="shared" si="3"/>
        <v> </v>
      </c>
      <c r="L79" s="31" t="str">
        <f>IF(K79=" "," ",($L$26-$D$3*$F$12)*((K79/$F$12)-($C$18/(PI()))*SIN((PI()*K79)/$F$12))+$D$3*K79)</f>
        <v> </v>
      </c>
      <c r="M79" s="31" t="str">
        <f t="shared" si="7"/>
        <v> </v>
      </c>
    </row>
    <row r="80" spans="1:13">
      <c r="A80" s="31" t="str">
        <f t="shared" si="0"/>
        <v> </v>
      </c>
      <c r="B80" s="31" t="str">
        <f>IF(A80=" "," ",($B$26-$B$3*($F$9))*((A80/($F$9))-($C$18/(PI()))*SIN((PI()*A80)/($F$9)))+$B$3*A80)</f>
        <v> </v>
      </c>
      <c r="C80" s="31" t="str">
        <f t="shared" si="4"/>
        <v> </v>
      </c>
      <c r="D80" s="31" t="str">
        <f t="shared" si="1"/>
        <v> </v>
      </c>
      <c r="E80" s="31" t="str">
        <f>IF(D80=" "," ",($E$26-$B$3*($F$8))*((D80/($F$8))-($C$18/(PI()))*SIN((PI()*D80)/($F$8)))+$B$3*D80)</f>
        <v> </v>
      </c>
      <c r="F80" s="31" t="str">
        <f t="shared" si="5"/>
        <v> </v>
      </c>
      <c r="G80" s="31"/>
      <c r="H80" s="31">
        <f t="shared" si="2"/>
        <v>52</v>
      </c>
      <c r="I80" s="31">
        <f>IF(H80=" "," ",($I$26-$D$3*$F$13)*((H80/$F$13)-($C$18/(PI()))*SIN((PI()*H80)/$F$13))+$D$3*H80)</f>
        <v>14.903673163927</v>
      </c>
      <c r="J80" s="31">
        <f t="shared" si="6"/>
        <v>1.01430701136895</v>
      </c>
      <c r="K80" s="31" t="str">
        <f t="shared" si="3"/>
        <v> </v>
      </c>
      <c r="L80" s="31" t="str">
        <f>IF(K80=" "," ",($L$26-$D$3*$F$12)*((K80/$F$12)-($C$18/(PI()))*SIN((PI()*K80)/$F$12))+$D$3*K80)</f>
        <v> </v>
      </c>
      <c r="M80" s="31" t="str">
        <f t="shared" si="7"/>
        <v> </v>
      </c>
    </row>
    <row r="81" spans="1:13">
      <c r="A81" s="31" t="str">
        <f t="shared" si="0"/>
        <v> </v>
      </c>
      <c r="B81" s="31" t="str">
        <f>IF(A81=" "," ",($B$26-$B$3*($F$9))*((A81/($F$9))-($C$18/(PI()))*SIN((PI()*A81)/($F$9)))+$B$3*A81)</f>
        <v> </v>
      </c>
      <c r="C81" s="31" t="str">
        <f t="shared" si="4"/>
        <v> </v>
      </c>
      <c r="D81" s="31" t="str">
        <f t="shared" si="1"/>
        <v> </v>
      </c>
      <c r="E81" s="31" t="str">
        <f>IF(D81=" "," ",($E$26-$B$3*($F$8))*((D81/($F$8))-($C$18/(PI()))*SIN((PI()*D81)/($F$8)))+$B$3*D81)</f>
        <v> </v>
      </c>
      <c r="F81" s="31" t="str">
        <f t="shared" si="5"/>
        <v> </v>
      </c>
      <c r="G81" s="31"/>
      <c r="H81" s="31">
        <f t="shared" si="2"/>
        <v>53</v>
      </c>
      <c r="I81" s="31">
        <f>IF(H81=" "," ",($I$26-$D$3*$F$13)*((H81/$F$13)-($C$18/(PI()))*SIN((PI()*H81)/$F$13))+$D$3*H81)</f>
        <v>15.5495524470146</v>
      </c>
      <c r="J81" s="31">
        <f t="shared" si="6"/>
        <v>1.01294092790736</v>
      </c>
      <c r="K81" s="31" t="str">
        <f t="shared" si="3"/>
        <v> </v>
      </c>
      <c r="L81" s="31" t="str">
        <f>IF(K81=" "," ",($L$26-$D$3*$F$12)*((K81/$F$12)-($C$18/(PI()))*SIN((PI()*K81)/$F$12))+$D$3*K81)</f>
        <v> </v>
      </c>
      <c r="M81" s="31" t="str">
        <f t="shared" si="7"/>
        <v> </v>
      </c>
    </row>
    <row r="82" spans="1:13">
      <c r="A82" s="31" t="str">
        <f t="shared" si="0"/>
        <v> </v>
      </c>
      <c r="B82" s="31" t="str">
        <f>IF(A82=" "," ",($B$26-$B$3*($F$9))*((A82/($F$9))-($C$18/(PI()))*SIN((PI()*A82)/($F$9)))+$B$3*A82)</f>
        <v> </v>
      </c>
      <c r="C82" s="31" t="str">
        <f t="shared" si="4"/>
        <v> </v>
      </c>
      <c r="D82" s="31" t="str">
        <f t="shared" si="1"/>
        <v> </v>
      </c>
      <c r="E82" s="31" t="str">
        <f>IF(D82=" "," ",($E$26-$B$3*($F$8))*((D82/($F$8))-($C$18/(PI()))*SIN((PI()*D82)/($F$8)))+$B$3*D82)</f>
        <v> </v>
      </c>
      <c r="F82" s="31" t="str">
        <f t="shared" si="5"/>
        <v> </v>
      </c>
      <c r="G82" s="31"/>
      <c r="H82" s="31">
        <f t="shared" si="2"/>
        <v>54</v>
      </c>
      <c r="I82" s="31">
        <f>IF(H82=" "," ",($I$26-$D$3*$F$13)*((H82/$F$13)-($C$18/(PI()))*SIN((PI()*H82)/$F$13))+$D$3*H82)</f>
        <v>16.2029196665281</v>
      </c>
      <c r="J82" s="31">
        <f t="shared" si="6"/>
        <v>1.01159339929611</v>
      </c>
      <c r="K82" s="31" t="str">
        <f t="shared" si="3"/>
        <v> </v>
      </c>
      <c r="L82" s="31" t="str">
        <f>IF(K82=" "," ",($L$26-$D$3*$F$12)*((K82/$F$12)-($C$18/(PI()))*SIN((PI()*K82)/$F$12))+$D$3*K82)</f>
        <v> </v>
      </c>
      <c r="M82" s="31" t="str">
        <f t="shared" si="7"/>
        <v> </v>
      </c>
    </row>
    <row r="83" spans="1:13">
      <c r="A83" s="31" t="str">
        <f t="shared" si="0"/>
        <v> </v>
      </c>
      <c r="B83" s="31" t="str">
        <f>IF(A83=" "," ",($B$26-$B$3*($F$9))*((A83/($F$9))-($C$18/(PI()))*SIN((PI()*A83)/($F$9)))+$B$3*A83)</f>
        <v> </v>
      </c>
      <c r="C83" s="31" t="str">
        <f t="shared" si="4"/>
        <v> </v>
      </c>
      <c r="D83" s="31" t="str">
        <f t="shared" si="1"/>
        <v> </v>
      </c>
      <c r="E83" s="31" t="str">
        <f>IF(D83=" "," ",($E$26-$B$3*($F$8))*((D83/($F$8))-($C$18/(PI()))*SIN((PI()*D83)/($F$8)))+$B$3*D83)</f>
        <v> </v>
      </c>
      <c r="F83" s="31" t="str">
        <f t="shared" si="5"/>
        <v> </v>
      </c>
      <c r="G83" s="31"/>
      <c r="H83" s="31">
        <f t="shared" si="2"/>
        <v>55</v>
      </c>
      <c r="I83" s="31">
        <f>IF(H83=" "," ",($I$26-$D$3*$F$13)*((H83/$F$13)-($C$18/(PI()))*SIN((PI()*H83)/$F$13))+$D$3*H83)</f>
        <v>16.8629920422337</v>
      </c>
      <c r="J83" s="31">
        <f t="shared" si="6"/>
        <v>1.01026246189254</v>
      </c>
      <c r="K83" s="31" t="str">
        <f t="shared" si="3"/>
        <v> </v>
      </c>
      <c r="L83" s="31" t="str">
        <f>IF(K83=" "," ",($L$26-$D$3*$F$12)*((K83/$F$12)-($C$18/(PI()))*SIN((PI()*K83)/$F$12))+$D$3*K83)</f>
        <v> </v>
      </c>
      <c r="M83" s="31" t="str">
        <f t="shared" si="7"/>
        <v> </v>
      </c>
    </row>
    <row r="84" spans="1:13">
      <c r="A84" s="31" t="str">
        <f t="shared" si="0"/>
        <v> </v>
      </c>
      <c r="B84" s="31" t="str">
        <f>IF(A84=" "," ",($B$26-$B$3*($F$9))*((A84/($F$9))-($C$18/(PI()))*SIN((PI()*A84)/($F$9)))+$B$3*A84)</f>
        <v> </v>
      </c>
      <c r="C84" s="31" t="str">
        <f t="shared" si="4"/>
        <v> </v>
      </c>
      <c r="D84" s="31" t="str">
        <f t="shared" si="1"/>
        <v> </v>
      </c>
      <c r="E84" s="31" t="str">
        <f>IF(D84=" "," ",($E$26-$B$3*($F$8))*((D84/($F$8))-($C$18/(PI()))*SIN((PI()*D84)/($F$8)))+$B$3*D84)</f>
        <v> </v>
      </c>
      <c r="F84" s="31" t="str">
        <f t="shared" si="5"/>
        <v> </v>
      </c>
      <c r="G84" s="31"/>
      <c r="H84" s="31">
        <f t="shared" si="2"/>
        <v>56</v>
      </c>
      <c r="I84" s="31">
        <f>IF(H84=" "," ",($I$26-$D$3*$F$13)*((H84/$F$13)-($C$18/(PI()))*SIN((PI()*H84)/$F$13))+$D$3*H84)</f>
        <v>17.5289695818577</v>
      </c>
      <c r="J84" s="31">
        <f t="shared" si="6"/>
        <v>1.00894623701252</v>
      </c>
      <c r="K84" s="31" t="str">
        <f t="shared" si="3"/>
        <v> </v>
      </c>
      <c r="L84" s="31" t="str">
        <f>IF(K84=" "," ",($L$26-$D$3*$F$12)*((K84/$F$12)-($C$18/(PI()))*SIN((PI()*K84)/$F$12))+$D$3*K84)</f>
        <v> </v>
      </c>
      <c r="M84" s="31" t="str">
        <f t="shared" si="7"/>
        <v> </v>
      </c>
    </row>
    <row r="85" spans="1:13">
      <c r="A85" s="31" t="str">
        <f t="shared" si="0"/>
        <v> </v>
      </c>
      <c r="B85" s="31" t="str">
        <f>IF(A85=" "," ",($B$26-$B$3*($F$9))*((A85/($F$9))-($C$18/(PI()))*SIN((PI()*A85)/($F$9)))+$B$3*A85)</f>
        <v> </v>
      </c>
      <c r="C85" s="31" t="str">
        <f t="shared" si="4"/>
        <v> </v>
      </c>
      <c r="D85" s="31" t="str">
        <f t="shared" si="1"/>
        <v> </v>
      </c>
      <c r="E85" s="31" t="str">
        <f>IF(D85=" "," ",($E$26-$B$3*($F$8))*((D85/($F$8))-($C$18/(PI()))*SIN((PI()*D85)/($F$8)))+$B$3*D85)</f>
        <v> </v>
      </c>
      <c r="F85" s="31" t="str">
        <f t="shared" si="5"/>
        <v> </v>
      </c>
      <c r="G85" s="31"/>
      <c r="H85" s="31">
        <f t="shared" si="2"/>
        <v>57</v>
      </c>
      <c r="I85" s="31">
        <f>IF(H85=" "," ",($I$26-$D$3*$F$13)*((H85/$F$13)-($C$18/(PI()))*SIN((PI()*H85)/$F$13))+$D$3*H85)</f>
        <v>18.2000371346556</v>
      </c>
      <c r="J85" s="31">
        <f t="shared" si="6"/>
        <v>1.00764292017516</v>
      </c>
      <c r="K85" s="31" t="str">
        <f t="shared" si="3"/>
        <v> </v>
      </c>
      <c r="L85" s="31" t="str">
        <f>IF(K85=" "," ",($L$26-$D$3*$F$12)*((K85/$F$12)-($C$18/(PI()))*SIN((PI()*K85)/$F$12))+$D$3*K85)</f>
        <v> </v>
      </c>
      <c r="M85" s="31" t="str">
        <f t="shared" si="7"/>
        <v> </v>
      </c>
    </row>
    <row r="86" spans="1:13">
      <c r="A86" s="31" t="str">
        <f t="shared" si="0"/>
        <v> </v>
      </c>
      <c r="B86" s="31" t="str">
        <f>IF(A86=" "," ",($B$26-$B$3*($F$9))*((A86/($F$9))-($C$18/(PI()))*SIN((PI()*A86)/($F$9)))+$B$3*A86)</f>
        <v> </v>
      </c>
      <c r="C86" s="31" t="str">
        <f t="shared" si="4"/>
        <v> </v>
      </c>
      <c r="D86" s="31" t="str">
        <f t="shared" si="1"/>
        <v> </v>
      </c>
      <c r="E86" s="31" t="str">
        <f>IF(D86=" "," ",($E$26-$B$3*($F$8))*((D86/($F$8))-($C$18/(PI()))*SIN((PI()*D86)/($F$8)))+$B$3*D86)</f>
        <v> </v>
      </c>
      <c r="F86" s="31" t="str">
        <f t="shared" si="5"/>
        <v> </v>
      </c>
      <c r="G86" s="31"/>
      <c r="H86" s="31">
        <f t="shared" si="2"/>
        <v>58</v>
      </c>
      <c r="I86" s="31">
        <f>IF(H86=" "," ",($I$26-$D$3*$F$13)*((H86/$F$13)-($C$18/(PI()))*SIN((PI()*H86)/$F$13))+$D$3*H86)</f>
        <v>18.8753664838917</v>
      </c>
      <c r="J86" s="31">
        <f t="shared" si="6"/>
        <v>1.00635077112656</v>
      </c>
      <c r="K86" s="31" t="str">
        <f t="shared" si="3"/>
        <v> </v>
      </c>
      <c r="L86" s="31" t="str">
        <f>IF(K86=" "," ",($L$26-$D$3*$F$12)*((K86/$F$12)-($C$18/(PI()))*SIN((PI()*K86)/$F$12))+$D$3*K86)</f>
        <v> </v>
      </c>
      <c r="M86" s="31" t="str">
        <f t="shared" si="7"/>
        <v> </v>
      </c>
    </row>
    <row r="87" spans="1:13">
      <c r="A87" s="31" t="str">
        <f t="shared" si="0"/>
        <v> </v>
      </c>
      <c r="B87" s="31" t="str">
        <f>IF(A87=" "," ",($B$26-$B$3*($F$9))*((A87/($F$9))-($C$18/(PI()))*SIN((PI()*A87)/($F$9)))+$B$3*A87)</f>
        <v> </v>
      </c>
      <c r="C87" s="31" t="str">
        <f t="shared" si="4"/>
        <v> </v>
      </c>
      <c r="D87" s="31" t="str">
        <f t="shared" si="1"/>
        <v> </v>
      </c>
      <c r="E87" s="31" t="str">
        <f>IF(D87=" "," ",($E$26-$B$3*($F$8))*((D87/($F$8))-($C$18/(PI()))*SIN((PI()*D87)/($F$8)))+$B$3*D87)</f>
        <v> </v>
      </c>
      <c r="F87" s="31" t="str">
        <f t="shared" si="5"/>
        <v> </v>
      </c>
      <c r="G87" s="31"/>
      <c r="H87" s="31">
        <f t="shared" si="2"/>
        <v>59</v>
      </c>
      <c r="I87" s="31">
        <f>IF(H87=" "," ",($I$26-$D$3*$F$13)*((H87/$F$13)-($C$18/(PI()))*SIN((PI()*H87)/$F$13))+$D$3*H87)</f>
        <v>19.5541184728603</v>
      </c>
      <c r="J87" s="31">
        <f t="shared" si="6"/>
        <v>1.00506810452754</v>
      </c>
      <c r="K87" s="31" t="str">
        <f t="shared" si="3"/>
        <v> </v>
      </c>
      <c r="L87" s="31" t="str">
        <f>IF(K87=" "," ",($L$26-$D$3*$F$12)*((K87/$F$12)-($C$18/(PI()))*SIN((PI()*K87)/$F$12))+$D$3*K87)</f>
        <v> </v>
      </c>
      <c r="M87" s="31" t="str">
        <f t="shared" si="7"/>
        <v> </v>
      </c>
    </row>
    <row r="88" spans="1:13">
      <c r="A88" s="31" t="str">
        <f t="shared" si="0"/>
        <v> </v>
      </c>
      <c r="B88" s="31" t="str">
        <f>IF(A88=" "," ",($B$26-$B$3*($F$9))*((A88/($F$9))-($C$18/(PI()))*SIN((PI()*A88)/($F$9)))+$B$3*A88)</f>
        <v> </v>
      </c>
      <c r="C88" s="31" t="str">
        <f t="shared" si="4"/>
        <v> </v>
      </c>
      <c r="D88" s="31" t="str">
        <f t="shared" si="1"/>
        <v> </v>
      </c>
      <c r="E88" s="31" t="str">
        <f>IF(D88=" "," ",($E$26-$B$3*($F$8))*((D88/($F$8))-($C$18/(PI()))*SIN((PI()*D88)/($F$8)))+$B$3*D88)</f>
        <v> </v>
      </c>
      <c r="F88" s="31" t="str">
        <f t="shared" si="5"/>
        <v> </v>
      </c>
      <c r="G88" s="31"/>
      <c r="H88" s="31">
        <f t="shared" si="2"/>
        <v>60</v>
      </c>
      <c r="I88" s="31">
        <f>IF(H88=" "," ",($I$26-$D$3*$F$13)*((H88/$F$13)-($C$18/(PI()))*SIN((PI()*H88)/$F$13))+$D$3*H88)</f>
        <v>20.2354451589884</v>
      </c>
      <c r="J88" s="31">
        <f t="shared" si="6"/>
        <v>1.00379328120041</v>
      </c>
      <c r="K88" s="31" t="str">
        <f t="shared" si="3"/>
        <v> </v>
      </c>
      <c r="L88" s="31" t="str">
        <f>IF(K88=" "," ",($L$26-$D$3*$F$12)*((K88/$F$12)-($C$18/(PI()))*SIN((PI()*K88)/$F$12))+$D$3*K88)</f>
        <v> </v>
      </c>
      <c r="M88" s="31" t="str">
        <f t="shared" si="7"/>
        <v> </v>
      </c>
    </row>
    <row r="89" spans="1:13">
      <c r="A89" s="31" t="str">
        <f t="shared" si="0"/>
        <v> </v>
      </c>
      <c r="B89" s="31" t="str">
        <f>IF(A89=" "," ",($B$26-$B$3*($F$9))*((A89/($F$9))-($C$18/(PI()))*SIN((PI()*A89)/($F$9)))+$B$3*A89)</f>
        <v> </v>
      </c>
      <c r="C89" s="31" t="str">
        <f t="shared" si="4"/>
        <v> </v>
      </c>
      <c r="D89" s="31" t="str">
        <f t="shared" si="1"/>
        <v> </v>
      </c>
      <c r="E89" s="31" t="str">
        <f>IF(D89=" "," ",($E$26-$B$3*($F$8))*((D89/($F$8))-($C$18/(PI()))*SIN((PI()*D89)/($F$8)))+$B$3*D89)</f>
        <v> </v>
      </c>
      <c r="F89" s="31" t="str">
        <f t="shared" si="5"/>
        <v> </v>
      </c>
      <c r="G89" s="31"/>
      <c r="H89" s="31">
        <f t="shared" si="2"/>
        <v>61</v>
      </c>
      <c r="I89" s="31">
        <f>IF(H89=" "," ",($I$26-$D$3*$F$13)*((H89/$F$13)-($C$18/(PI()))*SIN((PI()*H89)/$F$13))+$D$3*H89)</f>
        <v>20.9184919904923</v>
      </c>
      <c r="J89" s="31">
        <f t="shared" si="6"/>
        <v>1.0025246998406</v>
      </c>
      <c r="K89" s="31" t="str">
        <f t="shared" si="3"/>
        <v> </v>
      </c>
      <c r="L89" s="31" t="str">
        <f>IF(K89=" "," ",($L$26-$D$3*$F$12)*((K89/$F$12)-($C$18/(PI()))*SIN((PI()*K89)/$F$12))+$D$3*K89)</f>
        <v> </v>
      </c>
      <c r="M89" s="31" t="str">
        <f t="shared" si="7"/>
        <v> </v>
      </c>
    </row>
    <row r="90" spans="1:13">
      <c r="A90" s="31" t="str">
        <f t="shared" si="0"/>
        <v> </v>
      </c>
      <c r="B90" s="31" t="str">
        <f>IF(A90=" "," ",($B$26-$B$3*($F$9))*((A90/($F$9))-($C$18/(PI()))*SIN((PI()*A90)/($F$9)))+$B$3*A90)</f>
        <v> </v>
      </c>
      <c r="C90" s="31" t="str">
        <f t="shared" si="4"/>
        <v> </v>
      </c>
      <c r="D90" s="31" t="str">
        <f t="shared" si="1"/>
        <v> </v>
      </c>
      <c r="E90" s="31" t="str">
        <f>IF(D90=" "," ",($E$26-$B$3*($F$8))*((D90/($F$8))-($C$18/(PI()))*SIN((PI()*D90)/($F$8)))+$B$3*D90)</f>
        <v> </v>
      </c>
      <c r="F90" s="31" t="str">
        <f t="shared" si="5"/>
        <v> </v>
      </c>
      <c r="G90" s="31"/>
      <c r="H90" s="31">
        <f t="shared" si="2"/>
        <v>62</v>
      </c>
      <c r="I90" s="31">
        <f>IF(H90=" "," ",($I$26-$D$3*$F$13)*((H90/$F$13)-($C$18/(PI()))*SIN((PI()*H90)/$F$13))+$D$3*H90)</f>
        <v>21.6024</v>
      </c>
      <c r="J90" s="31">
        <f t="shared" si="6"/>
        <v>1.00126078910553</v>
      </c>
      <c r="K90" s="31" t="str">
        <f t="shared" si="3"/>
        <v> </v>
      </c>
      <c r="L90" s="31" t="str">
        <f>IF(K90=" "," ",($L$26-$D$3*$F$12)*((K90/$F$12)-($C$18/(PI()))*SIN((PI()*K90)/$F$12))+$D$3*K90)</f>
        <v> </v>
      </c>
      <c r="M90" s="31" t="str">
        <f t="shared" si="7"/>
        <v> </v>
      </c>
    </row>
    <row r="91" spans="1:13">
      <c r="A91" s="31" t="str">
        <f t="shared" si="0"/>
        <v> </v>
      </c>
      <c r="B91" s="31" t="str">
        <f>IF(A91=" "," ",($B$26-$B$3*($F$9))*((A91/($F$9))-($C$18/(PI()))*SIN((PI()*A91)/($F$9)))+$B$3*A91)</f>
        <v> </v>
      </c>
      <c r="C91" s="31" t="str">
        <f t="shared" si="4"/>
        <v> </v>
      </c>
      <c r="D91" s="31" t="str">
        <f t="shared" si="1"/>
        <v> </v>
      </c>
      <c r="E91" s="31" t="str">
        <f>IF(D91=" "," ",($E$26-$B$3*($F$8))*((D91/($F$8))-($C$18/(PI()))*SIN((PI()*D91)/($F$8)))+$B$3*D91)</f>
        <v> </v>
      </c>
      <c r="F91" s="31" t="str">
        <f t="shared" si="5"/>
        <v> </v>
      </c>
      <c r="G91" s="31"/>
      <c r="H91" s="31" t="str">
        <f t="shared" si="2"/>
        <v> </v>
      </c>
      <c r="I91" s="31" t="str">
        <f>IF(H91=" "," ",($I$26-$D$3*$F$13)*((H91/$F$13)-($C$18/(PI()))*SIN((PI()*H91)/$F$13))+$D$3*H91)</f>
        <v> </v>
      </c>
      <c r="J91" s="31" t="str">
        <f t="shared" si="6"/>
        <v> </v>
      </c>
      <c r="K91" s="31" t="str">
        <f t="shared" si="3"/>
        <v> </v>
      </c>
      <c r="L91" s="31" t="str">
        <f>IF(K91=" "," ",($L$26-$D$3*$F$12)*((K91/$F$12)-($C$18/(PI()))*SIN((PI()*K91)/$F$12))+$D$3*K91)</f>
        <v> </v>
      </c>
      <c r="M91" s="31" t="str">
        <f t="shared" si="7"/>
        <v> </v>
      </c>
    </row>
    <row r="92" spans="1:13">
      <c r="A92" s="31" t="str">
        <f t="shared" si="0"/>
        <v> </v>
      </c>
      <c r="B92" s="31" t="str">
        <f>IF(A92=" "," ",($B$26-$B$3*($F$9))*((A92/($F$9))-($C$18/(PI()))*SIN((PI()*A92)/($F$9)))+$B$3*A92)</f>
        <v> </v>
      </c>
      <c r="C92" s="31" t="str">
        <f t="shared" si="4"/>
        <v> </v>
      </c>
      <c r="D92" s="31" t="str">
        <f t="shared" si="1"/>
        <v> </v>
      </c>
      <c r="E92" s="31" t="str">
        <f>IF(D92=" "," ",($E$26-$B$3*($F$8))*((D92/($F$8))-($C$18/(PI()))*SIN((PI()*D92)/($F$8)))+$B$3*D92)</f>
        <v> </v>
      </c>
      <c r="F92" s="31" t="str">
        <f t="shared" si="5"/>
        <v> </v>
      </c>
      <c r="G92" s="31"/>
      <c r="H92" s="31" t="str">
        <f t="shared" si="2"/>
        <v> </v>
      </c>
      <c r="I92" s="31" t="str">
        <f>IF(H92=" "," ",($I$26-$D$3*$F$13)*((H92/$F$13)-($C$18/(PI()))*SIN((PI()*H92)/$F$13))+$D$3*H92)</f>
        <v> </v>
      </c>
      <c r="J92" s="31" t="str">
        <f t="shared" si="6"/>
        <v> </v>
      </c>
      <c r="K92" s="31" t="str">
        <f t="shared" si="3"/>
        <v> </v>
      </c>
      <c r="L92" s="31" t="str">
        <f>IF(K92=" "," ",($L$26-$D$3*$F$12)*((K92/$F$12)-($C$18/(PI()))*SIN((PI()*K92)/$F$12))+$D$3*K92)</f>
        <v> </v>
      </c>
      <c r="M92" s="31" t="str">
        <f t="shared" si="7"/>
        <v> </v>
      </c>
    </row>
    <row r="93" spans="1:13">
      <c r="A93" s="31" t="str">
        <f t="shared" ref="A93:A156" si="8">IF(($F$9)-ROW(A65)&gt;=0,($F$9)-(($F$9)-ROW(A65))," ")</f>
        <v> </v>
      </c>
      <c r="B93" s="31" t="str">
        <f>IF(A93=" "," ",($B$26-$B$3*($F$9))*((A93/($F$9))-($C$18/(PI()))*SIN((PI()*A93)/($F$9)))+$B$3*A93)</f>
        <v> </v>
      </c>
      <c r="C93" s="31" t="str">
        <f t="shared" si="4"/>
        <v> </v>
      </c>
      <c r="D93" s="31" t="str">
        <f t="shared" ref="D93:D156" si="9">IF(($F$8)-ROW(D65)&gt;=0,($F$8)-(($F$8)-ROW(D65))," ")</f>
        <v> </v>
      </c>
      <c r="E93" s="31" t="str">
        <f>IF(D93=" "," ",($E$26-$B$3*($F$8))*((D93/($F$8))-($C$18/(PI()))*SIN((PI()*D93)/($F$8)))+$B$3*D93)</f>
        <v> </v>
      </c>
      <c r="F93" s="31" t="str">
        <f t="shared" si="5"/>
        <v> </v>
      </c>
      <c r="G93" s="31"/>
      <c r="H93" s="31" t="str">
        <f t="shared" ref="H93:H156" si="10">IF($F$13-ROW(H65)&gt;=0,$F$13-($F$13-ROW(H65))," ")</f>
        <v> </v>
      </c>
      <c r="I93" s="31" t="str">
        <f>IF(H93=" "," ",($I$26-$D$3*$F$13)*((H93/$F$13)-($C$18/(PI()))*SIN((PI()*H93)/$F$13))+$D$3*H93)</f>
        <v> </v>
      </c>
      <c r="J93" s="31" t="str">
        <f t="shared" si="6"/>
        <v> </v>
      </c>
      <c r="K93" s="31" t="str">
        <f t="shared" ref="K93:K156" si="11">IF($F$12-ROW(K65)&gt;=0,$F$12-($F$12-ROW(K65))," ")</f>
        <v> </v>
      </c>
      <c r="L93" s="31" t="str">
        <f>IF(K93=" "," ",($L$26-$D$3*$F$12)*((K93/$F$12)-($C$18/(PI()))*SIN((PI()*K93)/$F$12))+$D$3*K93)</f>
        <v> </v>
      </c>
      <c r="M93" s="31" t="str">
        <f t="shared" si="7"/>
        <v> </v>
      </c>
    </row>
    <row r="94" spans="1:13">
      <c r="A94" s="31" t="str">
        <f t="shared" si="8"/>
        <v> </v>
      </c>
      <c r="B94" s="31" t="str">
        <f>IF(A94=" "," ",($B$26-$B$3*($F$9))*((A94/($F$9))-($C$18/(PI()))*SIN((PI()*A94)/($F$9)))+$B$3*A94)</f>
        <v> </v>
      </c>
      <c r="C94" s="31" t="str">
        <f t="shared" ref="C94:C157" si="12">IF(A94=" "," ",(B94-B93)/(B93-B92))</f>
        <v> </v>
      </c>
      <c r="D94" s="31" t="str">
        <f t="shared" si="9"/>
        <v> </v>
      </c>
      <c r="E94" s="31" t="str">
        <f>IF(D94=" "," ",($E$26-$B$3*($F$8))*((D94/($F$8))-($C$18/(PI()))*SIN((PI()*D94)/($F$8)))+$B$3*D94)</f>
        <v> </v>
      </c>
      <c r="F94" s="31" t="str">
        <f t="shared" ref="F94:F157" si="13">IF(D94=" "," ",(E94-E93)/(E93-E92))</f>
        <v> </v>
      </c>
      <c r="G94" s="31"/>
      <c r="H94" s="31" t="str">
        <f t="shared" si="10"/>
        <v> </v>
      </c>
      <c r="I94" s="31" t="str">
        <f>IF(H94=" "," ",($I$26-$D$3*$F$13)*((H94/$F$13)-($C$18/(PI()))*SIN((PI()*H94)/$F$13))+$D$3*H94)</f>
        <v> </v>
      </c>
      <c r="J94" s="31" t="str">
        <f t="shared" ref="J94:J157" si="14">IF(H94=" "," ",(I94-I93)/(I93-I92))</f>
        <v> </v>
      </c>
      <c r="K94" s="31" t="str">
        <f t="shared" si="11"/>
        <v> </v>
      </c>
      <c r="L94" s="31" t="str">
        <f>IF(K94=" "," ",($L$26-$D$3*$F$12)*((K94/$F$12)-($C$18/(PI()))*SIN((PI()*K94)/$F$12))+$D$3*K94)</f>
        <v> </v>
      </c>
      <c r="M94" s="31" t="str">
        <f t="shared" ref="M94:M157" si="15">IF(K94=" "," ",(L94-L93)/(L93-L92))</f>
        <v> </v>
      </c>
    </row>
    <row r="95" spans="1:13">
      <c r="A95" s="31" t="str">
        <f t="shared" si="8"/>
        <v> </v>
      </c>
      <c r="B95" s="31" t="str">
        <f>IF(A95=" "," ",($B$26-$B$3*($F$9))*((A95/($F$9))-($C$18/(PI()))*SIN((PI()*A95)/($F$9)))+$B$3*A95)</f>
        <v> </v>
      </c>
      <c r="C95" s="31" t="str">
        <f t="shared" si="12"/>
        <v> </v>
      </c>
      <c r="D95" s="31" t="str">
        <f t="shared" si="9"/>
        <v> </v>
      </c>
      <c r="E95" s="31" t="str">
        <f>IF(D95=" "," ",($E$26-$B$3*($F$8))*((D95/($F$8))-($C$18/(PI()))*SIN((PI()*D95)/($F$8)))+$B$3*D95)</f>
        <v> </v>
      </c>
      <c r="F95" s="31" t="str">
        <f t="shared" si="13"/>
        <v> </v>
      </c>
      <c r="G95" s="31"/>
      <c r="H95" s="31" t="str">
        <f t="shared" si="10"/>
        <v> </v>
      </c>
      <c r="I95" s="31" t="str">
        <f>IF(H95=" "," ",($I$26-$D$3*$F$13)*((H95/$F$13)-($C$18/(PI()))*SIN((PI()*H95)/$F$13))+$D$3*H95)</f>
        <v> </v>
      </c>
      <c r="J95" s="31" t="str">
        <f t="shared" si="14"/>
        <v> </v>
      </c>
      <c r="K95" s="31" t="str">
        <f t="shared" si="11"/>
        <v> </v>
      </c>
      <c r="L95" s="31" t="str">
        <f>IF(K95=" "," ",($L$26-$D$3*$F$12)*((K95/$F$12)-($C$18/(PI()))*SIN((PI()*K95)/$F$12))+$D$3*K95)</f>
        <v> </v>
      </c>
      <c r="M95" s="31" t="str">
        <f t="shared" si="15"/>
        <v> </v>
      </c>
    </row>
    <row r="96" spans="1:13">
      <c r="A96" s="31" t="str">
        <f t="shared" si="8"/>
        <v> </v>
      </c>
      <c r="B96" s="31" t="str">
        <f>IF(A96=" "," ",($B$26-$B$3*($F$9))*((A96/($F$9))-($C$18/(PI()))*SIN((PI()*A96)/($F$9)))+$B$3*A96)</f>
        <v> </v>
      </c>
      <c r="C96" s="31" t="str">
        <f t="shared" si="12"/>
        <v> </v>
      </c>
      <c r="D96" s="31" t="str">
        <f t="shared" si="9"/>
        <v> </v>
      </c>
      <c r="E96" s="31" t="str">
        <f>IF(D96=" "," ",($E$26-$B$3*($F$8))*((D96/($F$8))-($C$18/(PI()))*SIN((PI()*D96)/($F$8)))+$B$3*D96)</f>
        <v> </v>
      </c>
      <c r="F96" s="31" t="str">
        <f t="shared" si="13"/>
        <v> </v>
      </c>
      <c r="G96" s="31"/>
      <c r="H96" s="31" t="str">
        <f t="shared" si="10"/>
        <v> </v>
      </c>
      <c r="I96" s="31" t="str">
        <f>IF(H96=" "," ",($I$26-$D$3*$F$13)*((H96/$F$13)-($C$18/(PI()))*SIN((PI()*H96)/$F$13))+$D$3*H96)</f>
        <v> </v>
      </c>
      <c r="J96" s="31" t="str">
        <f t="shared" si="14"/>
        <v> </v>
      </c>
      <c r="K96" s="31" t="str">
        <f t="shared" si="11"/>
        <v> </v>
      </c>
      <c r="L96" s="31" t="str">
        <f>IF(K96=" "," ",($L$26-$D$3*$F$12)*((K96/$F$12)-($C$18/(PI()))*SIN((PI()*K96)/$F$12))+$D$3*K96)</f>
        <v> </v>
      </c>
      <c r="M96" s="31" t="str">
        <f t="shared" si="15"/>
        <v> </v>
      </c>
    </row>
    <row r="97" spans="1:13">
      <c r="A97" s="31" t="str">
        <f t="shared" si="8"/>
        <v> </v>
      </c>
      <c r="B97" s="31" t="str">
        <f>IF(A97=" "," ",($B$26-$B$3*($F$9))*((A97/($F$9))-($C$18/(PI()))*SIN((PI()*A97)/($F$9)))+$B$3*A97)</f>
        <v> </v>
      </c>
      <c r="C97" s="31" t="str">
        <f t="shared" si="12"/>
        <v> </v>
      </c>
      <c r="D97" s="31" t="str">
        <f t="shared" si="9"/>
        <v> </v>
      </c>
      <c r="E97" s="31" t="str">
        <f>IF(D97=" "," ",($E$26-$B$3*($F$8))*((D97/($F$8))-($C$18/(PI()))*SIN((PI()*D97)/($F$8)))+$B$3*D97)</f>
        <v> </v>
      </c>
      <c r="F97" s="31" t="str">
        <f t="shared" si="13"/>
        <v> </v>
      </c>
      <c r="G97" s="31"/>
      <c r="H97" s="31" t="str">
        <f t="shared" si="10"/>
        <v> </v>
      </c>
      <c r="I97" s="31" t="str">
        <f>IF(H97=" "," ",($I$26-$D$3*$F$13)*((H97/$F$13)-($C$18/(PI()))*SIN((PI()*H97)/$F$13))+$D$3*H97)</f>
        <v> </v>
      </c>
      <c r="J97" s="31" t="str">
        <f t="shared" si="14"/>
        <v> </v>
      </c>
      <c r="K97" s="31" t="str">
        <f t="shared" si="11"/>
        <v> </v>
      </c>
      <c r="L97" s="31" t="str">
        <f>IF(K97=" "," ",($L$26-$D$3*$F$12)*((K97/$F$12)-($C$18/(PI()))*SIN((PI()*K97)/$F$12))+$D$3*K97)</f>
        <v> </v>
      </c>
      <c r="M97" s="31" t="str">
        <f t="shared" si="15"/>
        <v> </v>
      </c>
    </row>
    <row r="98" spans="1:13">
      <c r="A98" s="31" t="str">
        <f t="shared" si="8"/>
        <v> </v>
      </c>
      <c r="B98" s="31" t="str">
        <f>IF(A98=" "," ",($B$26-$B$3*($F$9))*((A98/($F$9))-($C$18/(PI()))*SIN((PI()*A98)/($F$9)))+$B$3*A98)</f>
        <v> </v>
      </c>
      <c r="C98" s="31" t="str">
        <f t="shared" si="12"/>
        <v> </v>
      </c>
      <c r="D98" s="31" t="str">
        <f t="shared" si="9"/>
        <v> </v>
      </c>
      <c r="E98" s="31" t="str">
        <f>IF(D98=" "," ",($E$26-$B$3*($F$8))*((D98/($F$8))-($C$18/(PI()))*SIN((PI()*D98)/($F$8)))+$B$3*D98)</f>
        <v> </v>
      </c>
      <c r="F98" s="31" t="str">
        <f t="shared" si="13"/>
        <v> </v>
      </c>
      <c r="G98" s="31"/>
      <c r="H98" s="31" t="str">
        <f t="shared" si="10"/>
        <v> </v>
      </c>
      <c r="I98" s="31" t="str">
        <f>IF(H98=" "," ",($I$26-$D$3*$F$13)*((H98/$F$13)-($C$18/(PI()))*SIN((PI()*H98)/$F$13))+$D$3*H98)</f>
        <v> </v>
      </c>
      <c r="J98" s="31" t="str">
        <f t="shared" si="14"/>
        <v> </v>
      </c>
      <c r="K98" s="31" t="str">
        <f t="shared" si="11"/>
        <v> </v>
      </c>
      <c r="L98" s="31" t="str">
        <f>IF(K98=" "," ",($L$26-$D$3*$F$12)*((K98/$F$12)-($C$18/(PI()))*SIN((PI()*K98)/$F$12))+$D$3*K98)</f>
        <v> </v>
      </c>
      <c r="M98" s="31" t="str">
        <f t="shared" si="15"/>
        <v> </v>
      </c>
    </row>
    <row r="99" spans="1:13">
      <c r="A99" s="31" t="str">
        <f t="shared" si="8"/>
        <v> </v>
      </c>
      <c r="B99" s="31" t="str">
        <f>IF(A99=" "," ",($B$26-$B$3*($F$9))*((A99/($F$9))-($C$18/(PI()))*SIN((PI()*A99)/($F$9)))+$B$3*A99)</f>
        <v> </v>
      </c>
      <c r="C99" s="31" t="str">
        <f t="shared" si="12"/>
        <v> </v>
      </c>
      <c r="D99" s="31" t="str">
        <f t="shared" si="9"/>
        <v> </v>
      </c>
      <c r="E99" s="31" t="str">
        <f>IF(D99=" "," ",($E$26-$B$3*($F$8))*((D99/($F$8))-($C$18/(PI()))*SIN((PI()*D99)/($F$8)))+$B$3*D99)</f>
        <v> </v>
      </c>
      <c r="F99" s="31" t="str">
        <f t="shared" si="13"/>
        <v> </v>
      </c>
      <c r="G99" s="31"/>
      <c r="H99" s="31" t="str">
        <f t="shared" si="10"/>
        <v> </v>
      </c>
      <c r="I99" s="31" t="str">
        <f>IF(H99=" "," ",($I$26-$D$3*$F$13)*((H99/$F$13)-($C$18/(PI()))*SIN((PI()*H99)/$F$13))+$D$3*H99)</f>
        <v> </v>
      </c>
      <c r="J99" s="31" t="str">
        <f t="shared" si="14"/>
        <v> </v>
      </c>
      <c r="K99" s="31" t="str">
        <f t="shared" si="11"/>
        <v> </v>
      </c>
      <c r="L99" s="31" t="str">
        <f>IF(K99=" "," ",($L$26-$D$3*$F$12)*((K99/$F$12)-($C$18/(PI()))*SIN((PI()*K99)/$F$12))+$D$3*K99)</f>
        <v> </v>
      </c>
      <c r="M99" s="31" t="str">
        <f t="shared" si="15"/>
        <v> </v>
      </c>
    </row>
    <row r="100" spans="1:13">
      <c r="A100" s="31" t="str">
        <f t="shared" si="8"/>
        <v> </v>
      </c>
      <c r="B100" s="31" t="str">
        <f>IF(A100=" "," ",($B$26-$B$3*($F$9))*((A100/($F$9))-($C$18/(PI()))*SIN((PI()*A100)/($F$9)))+$B$3*A100)</f>
        <v> </v>
      </c>
      <c r="C100" s="31" t="str">
        <f t="shared" si="12"/>
        <v> </v>
      </c>
      <c r="D100" s="31" t="str">
        <f t="shared" si="9"/>
        <v> </v>
      </c>
      <c r="E100" s="31" t="str">
        <f>IF(D100=" "," ",($E$26-$B$3*($F$8))*((D100/($F$8))-($C$18/(PI()))*SIN((PI()*D100)/($F$8)))+$B$3*D100)</f>
        <v> </v>
      </c>
      <c r="F100" s="31" t="str">
        <f t="shared" si="13"/>
        <v> </v>
      </c>
      <c r="G100" s="31"/>
      <c r="H100" s="31" t="str">
        <f t="shared" si="10"/>
        <v> </v>
      </c>
      <c r="I100" s="31" t="str">
        <f>IF(H100=" "," ",($I$26-$D$3*$F$13)*((H100/$F$13)-($C$18/(PI()))*SIN((PI()*H100)/$F$13))+$D$3*H100)</f>
        <v> </v>
      </c>
      <c r="J100" s="31" t="str">
        <f t="shared" si="14"/>
        <v> </v>
      </c>
      <c r="K100" s="31" t="str">
        <f t="shared" si="11"/>
        <v> </v>
      </c>
      <c r="L100" s="31" t="str">
        <f>IF(K100=" "," ",($L$26-$D$3*$F$12)*((K100/$F$12)-($C$18/(PI()))*SIN((PI()*K100)/$F$12))+$D$3*K100)</f>
        <v> </v>
      </c>
      <c r="M100" s="31" t="str">
        <f t="shared" si="15"/>
        <v> </v>
      </c>
    </row>
    <row r="101" spans="1:13">
      <c r="A101" s="31" t="str">
        <f t="shared" si="8"/>
        <v> </v>
      </c>
      <c r="B101" s="31" t="str">
        <f>IF(A101=" "," ",($B$26-$B$3*($F$9))*((A101/($F$9))-($C$18/(PI()))*SIN((PI()*A101)/($F$9)))+$B$3*A101)</f>
        <v> </v>
      </c>
      <c r="C101" s="31" t="str">
        <f t="shared" si="12"/>
        <v> </v>
      </c>
      <c r="D101" s="31" t="str">
        <f t="shared" si="9"/>
        <v> </v>
      </c>
      <c r="E101" s="31" t="str">
        <f>IF(D101=" "," ",($E$26-$B$3*($F$8))*((D101/($F$8))-($C$18/(PI()))*SIN((PI()*D101)/($F$8)))+$B$3*D101)</f>
        <v> </v>
      </c>
      <c r="F101" s="31" t="str">
        <f t="shared" si="13"/>
        <v> </v>
      </c>
      <c r="G101" s="31"/>
      <c r="H101" s="31" t="str">
        <f t="shared" si="10"/>
        <v> </v>
      </c>
      <c r="I101" s="31" t="str">
        <f>IF(H101=" "," ",($I$26-$D$3*$F$13)*((H101/$F$13)-($C$18/(PI()))*SIN((PI()*H101)/$F$13))+$D$3*H101)</f>
        <v> </v>
      </c>
      <c r="J101" s="31" t="str">
        <f t="shared" si="14"/>
        <v> </v>
      </c>
      <c r="K101" s="31" t="str">
        <f t="shared" si="11"/>
        <v> </v>
      </c>
      <c r="L101" s="31" t="str">
        <f>IF(K101=" "," ",($L$26-$D$3*$F$12)*((K101/$F$12)-($C$18/(PI()))*SIN((PI()*K101)/$F$12))+$D$3*K101)</f>
        <v> </v>
      </c>
      <c r="M101" s="31" t="str">
        <f t="shared" si="15"/>
        <v> </v>
      </c>
    </row>
    <row r="102" spans="1:13">
      <c r="A102" s="31" t="str">
        <f t="shared" si="8"/>
        <v> </v>
      </c>
      <c r="B102" s="31" t="str">
        <f>IF(A102=" "," ",($B$26-$B$3*($F$9))*((A102/($F$9))-($C$18/(PI()))*SIN((PI()*A102)/($F$9)))+$B$3*A102)</f>
        <v> </v>
      </c>
      <c r="C102" s="31" t="str">
        <f t="shared" si="12"/>
        <v> </v>
      </c>
      <c r="D102" s="31" t="str">
        <f t="shared" si="9"/>
        <v> </v>
      </c>
      <c r="E102" s="31" t="str">
        <f>IF(D102=" "," ",($E$26-$B$3*($F$8))*((D102/($F$8))-($C$18/(PI()))*SIN((PI()*D102)/($F$8)))+$B$3*D102)</f>
        <v> </v>
      </c>
      <c r="F102" s="31" t="str">
        <f t="shared" si="13"/>
        <v> </v>
      </c>
      <c r="G102" s="31"/>
      <c r="H102" s="31" t="str">
        <f t="shared" si="10"/>
        <v> </v>
      </c>
      <c r="I102" s="31" t="str">
        <f>IF(H102=" "," ",($I$26-$D$3*$F$13)*((H102/$F$13)-($C$18/(PI()))*SIN((PI()*H102)/$F$13))+$D$3*H102)</f>
        <v> </v>
      </c>
      <c r="J102" s="31" t="str">
        <f t="shared" si="14"/>
        <v> </v>
      </c>
      <c r="K102" s="31" t="str">
        <f t="shared" si="11"/>
        <v> </v>
      </c>
      <c r="L102" s="31" t="str">
        <f>IF(K102=" "," ",($L$26-$D$3*$F$12)*((K102/$F$12)-($C$18/(PI()))*SIN((PI()*K102)/$F$12))+$D$3*K102)</f>
        <v> </v>
      </c>
      <c r="M102" s="31" t="str">
        <f t="shared" si="15"/>
        <v> </v>
      </c>
    </row>
    <row r="103" spans="1:13">
      <c r="A103" s="31" t="str">
        <f t="shared" si="8"/>
        <v> </v>
      </c>
      <c r="B103" s="31" t="str">
        <f>IF(A103=" "," ",($B$26-$B$3*($F$9))*((A103/($F$9))-($C$18/(PI()))*SIN((PI()*A103)/($F$9)))+$B$3*A103)</f>
        <v> </v>
      </c>
      <c r="C103" s="31" t="str">
        <f t="shared" si="12"/>
        <v> </v>
      </c>
      <c r="D103" s="31" t="str">
        <f t="shared" si="9"/>
        <v> </v>
      </c>
      <c r="E103" s="31" t="str">
        <f>IF(D103=" "," ",($E$26-$B$3*($F$8))*((D103/($F$8))-($C$18/(PI()))*SIN((PI()*D103)/($F$8)))+$B$3*D103)</f>
        <v> </v>
      </c>
      <c r="F103" s="31" t="str">
        <f t="shared" si="13"/>
        <v> </v>
      </c>
      <c r="G103" s="31"/>
      <c r="H103" s="31" t="str">
        <f t="shared" si="10"/>
        <v> </v>
      </c>
      <c r="I103" s="31" t="str">
        <f>IF(H103=" "," ",($I$26-$D$3*$F$13)*((H103/$F$13)-($C$18/(PI()))*SIN((PI()*H103)/$F$13))+$D$3*H103)</f>
        <v> </v>
      </c>
      <c r="J103" s="31" t="str">
        <f t="shared" si="14"/>
        <v> </v>
      </c>
      <c r="K103" s="31" t="str">
        <f t="shared" si="11"/>
        <v> </v>
      </c>
      <c r="L103" s="31" t="str">
        <f>IF(K103=" "," ",($L$26-$D$3*$F$12)*((K103/$F$12)-($C$18/(PI()))*SIN((PI()*K103)/$F$12))+$D$3*K103)</f>
        <v> </v>
      </c>
      <c r="M103" s="31" t="str">
        <f t="shared" si="15"/>
        <v> </v>
      </c>
    </row>
    <row r="104" spans="1:13">
      <c r="A104" s="31" t="str">
        <f t="shared" si="8"/>
        <v> </v>
      </c>
      <c r="B104" s="31" t="str">
        <f>IF(A104=" "," ",($B$26-$B$3*($F$9))*((A104/($F$9))-($C$18/(PI()))*SIN((PI()*A104)/($F$9)))+$B$3*A104)</f>
        <v> </v>
      </c>
      <c r="C104" s="31" t="str">
        <f t="shared" si="12"/>
        <v> </v>
      </c>
      <c r="D104" s="31" t="str">
        <f t="shared" si="9"/>
        <v> </v>
      </c>
      <c r="E104" s="31" t="str">
        <f>IF(D104=" "," ",($E$26-$B$3*($F$8))*((D104/($F$8))-($C$18/(PI()))*SIN((PI()*D104)/($F$8)))+$B$3*D104)</f>
        <v> </v>
      </c>
      <c r="F104" s="31" t="str">
        <f t="shared" si="13"/>
        <v> </v>
      </c>
      <c r="G104" s="31"/>
      <c r="H104" s="31" t="str">
        <f t="shared" si="10"/>
        <v> </v>
      </c>
      <c r="I104" s="31" t="str">
        <f>IF(H104=" "," ",($I$26-$D$3*$F$13)*((H104/$F$13)-($C$18/(PI()))*SIN((PI()*H104)/$F$13))+$D$3*H104)</f>
        <v> </v>
      </c>
      <c r="J104" s="31" t="str">
        <f t="shared" si="14"/>
        <v> </v>
      </c>
      <c r="K104" s="31" t="str">
        <f t="shared" si="11"/>
        <v> </v>
      </c>
      <c r="L104" s="31" t="str">
        <f>IF(K104=" "," ",($L$26-$D$3*$F$12)*((K104/$F$12)-($C$18/(PI()))*SIN((PI()*K104)/$F$12))+$D$3*K104)</f>
        <v> </v>
      </c>
      <c r="M104" s="31" t="str">
        <f t="shared" si="15"/>
        <v> </v>
      </c>
    </row>
    <row r="105" spans="1:13">
      <c r="A105" s="31" t="str">
        <f t="shared" si="8"/>
        <v> </v>
      </c>
      <c r="B105" s="31" t="str">
        <f>IF(A105=" "," ",($B$26-$B$3*($F$9))*((A105/($F$9))-($C$18/(PI()))*SIN((PI()*A105)/($F$9)))+$B$3*A105)</f>
        <v> </v>
      </c>
      <c r="C105" s="31" t="str">
        <f t="shared" si="12"/>
        <v> </v>
      </c>
      <c r="D105" s="31" t="str">
        <f t="shared" si="9"/>
        <v> </v>
      </c>
      <c r="E105" s="31" t="str">
        <f>IF(D105=" "," ",($E$26-$B$3*($F$8))*((D105/($F$8))-($C$18/(PI()))*SIN((PI()*D105)/($F$8)))+$B$3*D105)</f>
        <v> </v>
      </c>
      <c r="F105" s="31" t="str">
        <f t="shared" si="13"/>
        <v> </v>
      </c>
      <c r="G105" s="31"/>
      <c r="H105" s="31" t="str">
        <f t="shared" si="10"/>
        <v> </v>
      </c>
      <c r="I105" s="31" t="str">
        <f>IF(H105=" "," ",($I$26-$D$3*$F$13)*((H105/$F$13)-($C$18/(PI()))*SIN((PI()*H105)/$F$13))+$D$3*H105)</f>
        <v> </v>
      </c>
      <c r="J105" s="31" t="str">
        <f t="shared" si="14"/>
        <v> </v>
      </c>
      <c r="K105" s="31" t="str">
        <f t="shared" si="11"/>
        <v> </v>
      </c>
      <c r="L105" s="31" t="str">
        <f>IF(K105=" "," ",($L$26-$D$3*$F$12)*((K105/$F$12)-($C$18/(PI()))*SIN((PI()*K105)/$F$12))+$D$3*K105)</f>
        <v> </v>
      </c>
      <c r="M105" s="31" t="str">
        <f t="shared" si="15"/>
        <v> </v>
      </c>
    </row>
    <row r="106" spans="1:13">
      <c r="A106" s="31" t="str">
        <f t="shared" si="8"/>
        <v> </v>
      </c>
      <c r="B106" s="31" t="str">
        <f>IF(A106=" "," ",($B$26-$B$3*($F$9))*((A106/($F$9))-($C$18/(PI()))*SIN((PI()*A106)/($F$9)))+$B$3*A106)</f>
        <v> </v>
      </c>
      <c r="C106" s="31" t="str">
        <f t="shared" si="12"/>
        <v> </v>
      </c>
      <c r="D106" s="31" t="str">
        <f t="shared" si="9"/>
        <v> </v>
      </c>
      <c r="E106" s="31" t="str">
        <f>IF(D106=" "," ",($E$26-$B$3*($F$8))*((D106/($F$8))-($C$18/(PI()))*SIN((PI()*D106)/($F$8)))+$B$3*D106)</f>
        <v> </v>
      </c>
      <c r="F106" s="31" t="str">
        <f t="shared" si="13"/>
        <v> </v>
      </c>
      <c r="G106" s="31"/>
      <c r="H106" s="31" t="str">
        <f t="shared" si="10"/>
        <v> </v>
      </c>
      <c r="I106" s="31" t="str">
        <f>IF(H106=" "," ",($I$26-$D$3*$F$13)*((H106/$F$13)-($C$18/(PI()))*SIN((PI()*H106)/$F$13))+$D$3*H106)</f>
        <v> </v>
      </c>
      <c r="J106" s="31" t="str">
        <f t="shared" si="14"/>
        <v> </v>
      </c>
      <c r="K106" s="31" t="str">
        <f t="shared" si="11"/>
        <v> </v>
      </c>
      <c r="L106" s="31" t="str">
        <f>IF(K106=" "," ",($L$26-$D$3*$F$12)*((K106/$F$12)-($C$18/(PI()))*SIN((PI()*K106)/$F$12))+$D$3*K106)</f>
        <v> </v>
      </c>
      <c r="M106" s="31" t="str">
        <f t="shared" si="15"/>
        <v> 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 t="str">
        <f t="shared" si="10"/>
        <v> </v>
      </c>
      <c r="I107" s="31" t="str">
        <f>IF(H107=" "," ",($I$26-$D$3*$F$13)*((H107/$F$13)-($C$18/(PI()))*SIN((PI()*H107)/$F$13))+$D$3*H107)</f>
        <v> </v>
      </c>
      <c r="J107" s="31" t="str">
        <f t="shared" si="14"/>
        <v> </v>
      </c>
      <c r="K107" s="31" t="str">
        <f t="shared" si="11"/>
        <v> </v>
      </c>
      <c r="L107" s="31" t="str">
        <f>IF(K107=" "," ",($L$26-$D$3*$F$12)*((K107/$F$12)-($C$18/(PI()))*SIN((PI()*K107)/$F$12))+$D$3*K107)</f>
        <v> </v>
      </c>
      <c r="M107" s="31" t="str">
        <f t="shared" si="15"/>
        <v> 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 t="str">
        <f t="shared" si="10"/>
        <v> </v>
      </c>
      <c r="I108" s="31" t="str">
        <f>IF(H108=" "," ",($I$26-$D$3*$F$13)*((H108/$F$13)-($C$18/(PI()))*SIN((PI()*H108)/$F$13))+$D$3*H108)</f>
        <v> </v>
      </c>
      <c r="J108" s="31" t="str">
        <f t="shared" si="14"/>
        <v> 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 t="str">
        <f t="shared" si="10"/>
        <v> </v>
      </c>
      <c r="I109" s="31" t="str">
        <f>IF(H109=" "," ",($I$26-$D$3*$F$13)*((H109/$F$13)-($C$18/(PI()))*SIN((PI()*H109)/$F$13))+$D$3*H109)</f>
        <v> </v>
      </c>
      <c r="J109" s="31" t="str">
        <f t="shared" si="14"/>
        <v> 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 t="str">
        <f t="shared" si="10"/>
        <v> </v>
      </c>
      <c r="I110" s="31" t="str">
        <f>IF(H110=" "," ",($I$26-$D$3*$F$13)*((H110/$F$13)-($C$18/(PI()))*SIN((PI()*H110)/$F$13))+$D$3*H110)</f>
        <v> </v>
      </c>
      <c r="J110" s="31" t="str">
        <f t="shared" si="14"/>
        <v> 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 t="str">
        <f t="shared" si="10"/>
        <v> </v>
      </c>
      <c r="I111" s="31" t="str">
        <f>IF(H111=" "," ",($I$26-$D$3*$F$13)*((H111/$F$13)-($C$18/(PI()))*SIN((PI()*H111)/$F$13))+$D$3*H111)</f>
        <v> </v>
      </c>
      <c r="J111" s="31" t="str">
        <f t="shared" si="14"/>
        <v> 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 t="str">
        <f t="shared" si="10"/>
        <v> </v>
      </c>
      <c r="I112" s="31" t="str">
        <f>IF(H112=" "," ",($I$26-$D$3*$F$13)*((H112/$F$13)-($C$18/(PI()))*SIN((PI()*H112)/$F$13))+$D$3*H112)</f>
        <v> </v>
      </c>
      <c r="J112" s="31" t="str">
        <f t="shared" si="14"/>
        <v> 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 t="str">
        <f t="shared" si="10"/>
        <v> </v>
      </c>
      <c r="I113" s="31" t="str">
        <f>IF(H113=" "," ",($I$26-$D$3*$F$13)*((H113/$F$13)-($C$18/(PI()))*SIN((PI()*H113)/$F$13))+$D$3*H113)</f>
        <v> </v>
      </c>
      <c r="J113" s="31" t="str">
        <f t="shared" si="14"/>
        <v> 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 t="str">
        <f t="shared" si="10"/>
        <v> </v>
      </c>
      <c r="I114" s="31" t="str">
        <f>IF(H114=" "," ",($I$26-$D$3*$F$13)*((H114/$F$13)-($C$18/(PI()))*SIN((PI()*H114)/$F$13))+$D$3*H114)</f>
        <v> </v>
      </c>
      <c r="J114" s="31" t="str">
        <f t="shared" si="14"/>
        <v> 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 t="str">
        <f t="shared" si="10"/>
        <v> </v>
      </c>
      <c r="I115" s="31" t="str">
        <f>IF(H115=" "," ",($I$26-$D$3*$F$13)*((H115/$F$13)-($C$18/(PI()))*SIN((PI()*H115)/$F$13))+$D$3*H115)</f>
        <v> </v>
      </c>
      <c r="J115" s="31" t="str">
        <f t="shared" si="14"/>
        <v> 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 t="str">
        <f t="shared" si="10"/>
        <v> </v>
      </c>
      <c r="I116" s="31" t="str">
        <f>IF(H116=" "," ",($I$26-$D$3*$F$13)*((H116/$F$13)-($C$18/(PI()))*SIN((PI()*H116)/$F$13))+$D$3*H116)</f>
        <v> </v>
      </c>
      <c r="J116" s="31" t="str">
        <f t="shared" si="14"/>
        <v> 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 t="str">
        <f t="shared" si="10"/>
        <v> </v>
      </c>
      <c r="I117" s="31" t="str">
        <f>IF(H117=" "," ",($I$26-$D$3*$F$13)*((H117/$F$13)-($C$18/(PI()))*SIN((PI()*H117)/$F$13))+$D$3*H117)</f>
        <v> </v>
      </c>
      <c r="J117" s="31" t="str">
        <f t="shared" si="14"/>
        <v> 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 t="str">
        <f t="shared" si="10"/>
        <v> </v>
      </c>
      <c r="I118" s="31" t="str">
        <f>IF(H118=" "," ",($I$26-$D$3*$F$13)*((H118/$F$13)-($C$18/(PI()))*SIN((PI()*H118)/$F$13))+$D$3*H118)</f>
        <v> </v>
      </c>
      <c r="J118" s="31" t="str">
        <f t="shared" si="14"/>
        <v> 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 t="str">
        <f t="shared" si="10"/>
        <v> </v>
      </c>
      <c r="I119" s="31" t="str">
        <f>IF(H119=" "," ",($I$26-$D$3*$F$13)*((H119/$F$13)-($C$18/(PI()))*SIN((PI()*H119)/$F$13))+$D$3*H119)</f>
        <v> </v>
      </c>
      <c r="J119" s="31" t="str">
        <f t="shared" si="14"/>
        <v> 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 t="str">
        <f t="shared" si="10"/>
        <v> </v>
      </c>
      <c r="I120" s="31" t="str">
        <f>IF(H120=" "," ",($I$26-$D$3*$F$13)*((H120/$F$13)-($C$18/(PI()))*SIN((PI()*H120)/$F$13))+$D$3*H120)</f>
        <v> </v>
      </c>
      <c r="J120" s="31" t="str">
        <f t="shared" si="14"/>
        <v> 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 t="str">
        <f t="shared" si="10"/>
        <v> </v>
      </c>
      <c r="I121" s="31" t="str">
        <f>IF(H121=" "," ",($I$26-$D$3*$F$13)*((H121/$F$13)-($C$18/(PI()))*SIN((PI()*H121)/$F$13))+$D$3*H121)</f>
        <v> </v>
      </c>
      <c r="J121" s="31" t="str">
        <f t="shared" si="14"/>
        <v> 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 t="str">
        <f t="shared" si="10"/>
        <v> </v>
      </c>
      <c r="I122" s="31" t="str">
        <f>IF(H122=" "," ",($I$26-$D$3*$F$13)*((H122/$F$13)-($C$18/(PI()))*SIN((PI()*H122)/$F$13))+$D$3*H122)</f>
        <v> </v>
      </c>
      <c r="J122" s="31" t="str">
        <f t="shared" si="14"/>
        <v> 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 t="str">
        <f t="shared" si="10"/>
        <v> </v>
      </c>
      <c r="I123" s="31" t="str">
        <f>IF(H123=" "," ",($I$26-$D$3*$F$13)*((H123/$F$13)-($C$18/(PI()))*SIN((PI()*H123)/$F$13))+$D$3*H123)</f>
        <v> </v>
      </c>
      <c r="J123" s="31" t="str">
        <f t="shared" si="14"/>
        <v> 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 t="str">
        <f t="shared" si="10"/>
        <v> </v>
      </c>
      <c r="I124" s="31" t="str">
        <f>IF(H124=" "," ",($I$26-$D$3*$F$13)*((H124/$F$13)-($C$18/(PI()))*SIN((PI()*H124)/$F$13))+$D$3*H124)</f>
        <v> </v>
      </c>
      <c r="J124" s="31" t="str">
        <f t="shared" si="14"/>
        <v> 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 t="str">
        <f t="shared" si="10"/>
        <v> </v>
      </c>
      <c r="I125" s="31" t="str">
        <f>IF(H125=" "," ",($I$26-$D$3*$F$13)*((H125/$F$13)-($C$18/(PI()))*SIN((PI()*H125)/$F$13))+$D$3*H125)</f>
        <v> </v>
      </c>
      <c r="J125" s="31" t="str">
        <f t="shared" si="14"/>
        <v> 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 t="str">
        <f t="shared" si="10"/>
        <v> </v>
      </c>
      <c r="I126" s="31" t="str">
        <f>IF(H126=" "," ",($I$26-$D$3*$F$13)*((H126/$F$13)-($C$18/(PI()))*SIN((PI()*H126)/$F$13))+$D$3*H126)</f>
        <v> </v>
      </c>
      <c r="J126" s="31" t="str">
        <f t="shared" si="14"/>
        <v> 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K15" sqref="K15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0.0098</v>
      </c>
      <c r="C3" s="7" t="s">
        <v>112</v>
      </c>
      <c r="D3" s="8">
        <v>0.0098</v>
      </c>
      <c r="E3" s="7" t="s">
        <v>113</v>
      </c>
      <c r="F3" s="8">
        <f>D3*9</f>
        <v>0.0882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1.5092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264</v>
      </c>
      <c r="C8" s="11" t="s">
        <v>125</v>
      </c>
      <c r="D8" s="12">
        <f>D7/B3</f>
        <v>154</v>
      </c>
      <c r="E8" s="7" t="s">
        <v>126</v>
      </c>
      <c r="F8" s="34">
        <v>55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55</v>
      </c>
      <c r="C9" s="13"/>
      <c r="D9" s="14"/>
      <c r="E9" s="7" t="s">
        <v>130</v>
      </c>
      <c r="F9" s="34">
        <v>55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2.9988</v>
      </c>
      <c r="E11" s="7"/>
      <c r="J11" s="41" t="s">
        <v>134</v>
      </c>
      <c r="K11" s="42">
        <f>(B3*K9)/K3</f>
        <v>3.12221425877428</v>
      </c>
    </row>
    <row r="12" ht="15.15" spans="1:11">
      <c r="A12" s="11" t="s">
        <v>135</v>
      </c>
      <c r="B12" s="12">
        <f>D12+F13+F12</f>
        <v>429</v>
      </c>
      <c r="C12" s="15" t="s">
        <v>136</v>
      </c>
      <c r="D12" s="12">
        <f>D11/D3</f>
        <v>306</v>
      </c>
      <c r="E12" s="7" t="s">
        <v>137</v>
      </c>
      <c r="F12" s="34">
        <v>55</v>
      </c>
      <c r="G12" t="s">
        <v>127</v>
      </c>
      <c r="J12" s="43" t="s">
        <v>138</v>
      </c>
      <c r="K12" s="29">
        <f>(1-EXP(-1*K11/25))</f>
        <v>0.117404755616286</v>
      </c>
    </row>
    <row r="13" ht="15.15" spans="1:7">
      <c r="A13" s="11" t="s">
        <v>139</v>
      </c>
      <c r="B13" s="12">
        <f>F12</f>
        <v>55</v>
      </c>
      <c r="C13" s="13"/>
      <c r="D13" s="14"/>
      <c r="E13" s="7" t="s">
        <v>140</v>
      </c>
      <c r="F13" s="34">
        <v>68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0.00098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36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1.193</v>
      </c>
      <c r="G20" s="35" t="s">
        <v>147</v>
      </c>
      <c r="H20" s="36">
        <f>(B8*B12*B16)/1000000</f>
        <v>4.077216</v>
      </c>
      <c r="I20">
        <v>0.54</v>
      </c>
    </row>
    <row r="21" spans="1:8">
      <c r="A21" s="24" t="s">
        <v>148</v>
      </c>
      <c r="B21" s="25"/>
      <c r="C21" s="26">
        <f>ROUND(MAX(C29:C529),3)</f>
        <v>1.193</v>
      </c>
      <c r="G21" s="35"/>
      <c r="H21" s="36"/>
    </row>
    <row r="22" spans="1:7">
      <c r="A22" s="24" t="s">
        <v>149</v>
      </c>
      <c r="B22" s="25"/>
      <c r="C22" s="26">
        <f>ROUND(MAX(M28:M528),3)</f>
        <v>1.195</v>
      </c>
      <c r="G22" s="37"/>
    </row>
    <row r="23" ht="15.15" spans="1:6">
      <c r="A23" s="27" t="s">
        <v>150</v>
      </c>
      <c r="B23" s="28"/>
      <c r="C23" s="29">
        <f>ROUND(MAX(J28:J528),3)</f>
        <v>1.198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11.2454</v>
      </c>
      <c r="D26" s="7" t="s">
        <v>155</v>
      </c>
      <c r="E26" s="9">
        <f>B4-D7*0.5</f>
        <v>11.2454</v>
      </c>
      <c r="H26" s="7" t="s">
        <v>155</v>
      </c>
      <c r="I26" s="9">
        <f>B11-(D4+D11*0.5)</f>
        <v>21.6006</v>
      </c>
      <c r="K26" s="7" t="s">
        <v>155</v>
      </c>
      <c r="L26" s="9">
        <f>D4-D11*0.5</f>
        <v>11.4006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0.00990583590871112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0.00990583590871112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0.00990950445226206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0.00990737010629686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0.0204462729926943</v>
      </c>
      <c r="C30" s="31">
        <f t="shared" ref="C30:C93" si="4">IF(A30=" "," ",(B30-B29)/(B29-B28))</f>
        <v>1.06406336437635</v>
      </c>
      <c r="D30" s="31">
        <f t="shared" si="1"/>
        <v>2</v>
      </c>
      <c r="E30" s="31">
        <f>IF(D30=" "," ",($E$26-$B$3*($F$8))*((D30/($F$8))-($C$18/(PI()))*SIN((PI()*D30)/($F$8)))+$B$3*D30)</f>
        <v>0.0204462729926943</v>
      </c>
      <c r="F30" s="31">
        <f t="shared" ref="F30:F93" si="5">IF(D30=" "," ",(E30-E29)/(E29-E28))</f>
        <v>1.06406336437635</v>
      </c>
      <c r="G30" s="31"/>
      <c r="H30" s="31">
        <f t="shared" si="2"/>
        <v>2</v>
      </c>
      <c r="I30" s="31">
        <f>IF(H30=" "," ",($I$26-$D$3*$F$13)*((H30/$F$13)-($C$18/(PI()))*SIN((PI()*H30)/$F$13))+$D$3*H30)</f>
        <v>0.0204757551839214</v>
      </c>
      <c r="J30" s="31">
        <f t="shared" ref="J30:J93" si="6">IF(H30=" "," ",(I30-I29)/(I29-I28))</f>
        <v>1.06627438158599</v>
      </c>
      <c r="K30" s="31">
        <f t="shared" si="3"/>
        <v>2</v>
      </c>
      <c r="L30" s="31">
        <f>IF(K30=" "," ",($L$26-$D$3*$F$12)*((K30/$F$12)-($C$18/(PI()))*SIN((PI()*K30)/$F$12))+$D$3*K30)</f>
        <v>0.0204585405680199</v>
      </c>
      <c r="M30" s="31">
        <f t="shared" ref="M30:M93" si="7">IF(K30=" "," ",(L30-L29)/(L29-L28))</f>
        <v>1.06498196277305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0.0322538424900912</v>
      </c>
      <c r="C31" s="31">
        <f t="shared" si="4"/>
        <v>1.12021630633697</v>
      </c>
      <c r="D31" s="31">
        <f t="shared" si="1"/>
        <v>3</v>
      </c>
      <c r="E31" s="31">
        <f>IF(D31=" "," ",($E$26-$B$3*($F$8))*((D31/($F$8))-($C$18/(PI()))*SIN((PI()*D31)/($F$8)))+$B$3*D31)</f>
        <v>0.0322538424900912</v>
      </c>
      <c r="F31" s="31">
        <f t="shared" si="5"/>
        <v>1.12021630633697</v>
      </c>
      <c r="G31" s="31"/>
      <c r="H31" s="31">
        <f t="shared" si="2"/>
        <v>3</v>
      </c>
      <c r="I31" s="31">
        <f>IF(H31=" "," ",($I$26-$D$3*$F$13)*((H31/$F$13)-($C$18/(PI()))*SIN((PI()*H31)/$F$13))+$D$3*H31)</f>
        <v>0.0323540969447182</v>
      </c>
      <c r="J31" s="31">
        <f t="shared" si="6"/>
        <v>1.12417754059215</v>
      </c>
      <c r="K31" s="31">
        <f t="shared" si="3"/>
        <v>3</v>
      </c>
      <c r="L31" s="31">
        <f>IF(K31=" "," ",($L$26-$D$3*$F$12)*((K31/$F$12)-($C$18/(PI()))*SIN((PI()*K31)/$F$12))+$D$3*K31)</f>
        <v>0.0322952117976513</v>
      </c>
      <c r="M31" s="31">
        <f t="shared" si="7"/>
        <v>1.12183489713979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0.0459569425164871</v>
      </c>
      <c r="C32" s="31">
        <f t="shared" si="4"/>
        <v>1.1605351998493</v>
      </c>
      <c r="D32" s="31">
        <f t="shared" si="1"/>
        <v>4</v>
      </c>
      <c r="E32" s="31">
        <f>IF(D32=" "," ",($E$26-$B$3*($F$8))*((D32/($F$8))-($C$18/(PI()))*SIN((PI()*D32)/($F$8)))+$B$3*D32)</f>
        <v>0.0459569425164871</v>
      </c>
      <c r="F32" s="31">
        <f t="shared" si="5"/>
        <v>1.1605351998493</v>
      </c>
      <c r="G32" s="31"/>
      <c r="H32" s="31">
        <f t="shared" si="2"/>
        <v>4</v>
      </c>
      <c r="I32" s="31">
        <f>IF(H32=" "," ",($I$26-$D$3*$F$13)*((H32/$F$13)-($C$18/(PI()))*SIN((PI()*H32)/$F$13))+$D$3*H32)</f>
        <v>0.046197074416013</v>
      </c>
      <c r="J32" s="31">
        <f t="shared" si="6"/>
        <v>1.16539646274382</v>
      </c>
      <c r="K32" s="31">
        <f t="shared" si="3"/>
        <v>4</v>
      </c>
      <c r="L32" s="31">
        <f>IF(K32=" "," ",($L$26-$D$3*$F$12)*((K32/$F$12)-($C$18/(PI()))*SIN((PI()*K32)/$F$12))+$D$3*K32)</f>
        <v>0.0460548911713626</v>
      </c>
      <c r="M32" s="31">
        <f t="shared" si="7"/>
        <v>1.16246190392328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0.0621777883608722</v>
      </c>
      <c r="C33" s="31">
        <f t="shared" si="4"/>
        <v>1.1837354914683</v>
      </c>
      <c r="D33" s="31">
        <f t="shared" si="1"/>
        <v>5</v>
      </c>
      <c r="E33" s="31">
        <f>IF(D33=" "," ",($E$26-$B$3*($F$8))*((D33/($F$8))-($C$18/(PI()))*SIN((PI()*D33)/($F$8)))+$B$3*D33)</f>
        <v>0.0621777883608722</v>
      </c>
      <c r="F33" s="31">
        <f t="shared" si="5"/>
        <v>1.1837354914683</v>
      </c>
      <c r="G33" s="31"/>
      <c r="H33" s="31">
        <f t="shared" si="2"/>
        <v>5</v>
      </c>
      <c r="I33" s="31">
        <f>IF(H33=" "," ",($I$26-$D$3*$F$13)*((H33/$F$13)-($C$18/(PI()))*SIN((PI()*H33)/$F$13))+$D$3*H33)</f>
        <v>0.0626530396475524</v>
      </c>
      <c r="J33" s="31">
        <f t="shared" si="6"/>
        <v>1.18875908493407</v>
      </c>
      <c r="K33" s="31">
        <f t="shared" si="3"/>
        <v>5</v>
      </c>
      <c r="L33" s="31">
        <f>IF(K33=" "," ",($L$26-$D$3*$F$12)*((K33/$F$12)-($C$18/(PI()))*SIN((PI()*K33)/$F$12))+$D$3*K33)</f>
        <v>0.0623688136124608</v>
      </c>
      <c r="M33" s="31">
        <f t="shared" si="7"/>
        <v>1.18563245538024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0.0815303829486975</v>
      </c>
      <c r="C34" s="31">
        <f t="shared" si="4"/>
        <v>1.19306938574503</v>
      </c>
      <c r="D34" s="31">
        <f t="shared" si="1"/>
        <v>6</v>
      </c>
      <c r="E34" s="31">
        <f>IF(D34=" "," ",($E$26-$B$3*($F$8))*((D34/($F$8))-($C$18/(PI()))*SIN((PI()*D34)/($F$8)))+$B$3*D34)</f>
        <v>0.0815303829486975</v>
      </c>
      <c r="F34" s="31">
        <f t="shared" si="5"/>
        <v>1.19306938574503</v>
      </c>
      <c r="G34" s="31"/>
      <c r="H34" s="31">
        <f t="shared" si="2"/>
        <v>6</v>
      </c>
      <c r="I34" s="31">
        <f>IF(H34=" "," ",($I$26-$D$3*$F$13)*((H34/$F$13)-($C$18/(PI()))*SIN((PI()*H34)/$F$13))+$D$3*H34)</f>
        <v>0.0823647684415205</v>
      </c>
      <c r="J34" s="31">
        <f t="shared" si="6"/>
        <v>1.19784701271662</v>
      </c>
      <c r="K34" s="31">
        <f t="shared" si="3"/>
        <v>6</v>
      </c>
      <c r="L34" s="31">
        <f>IF(K34=" "," ",($L$26-$D$3*$F$12)*((K34/$F$12)-($C$18/(PI()))*SIN((PI()*K34)/$F$12))+$D$3*K34)</f>
        <v>0.0818598826342723</v>
      </c>
      <c r="M34" s="31">
        <f t="shared" si="7"/>
        <v>1.19475062433235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0.104618514091954</v>
      </c>
      <c r="C35" s="31">
        <f t="shared" si="4"/>
        <v>1.19302510257624</v>
      </c>
      <c r="D35" s="31">
        <f t="shared" si="1"/>
        <v>7</v>
      </c>
      <c r="E35" s="31">
        <f>IF(D35=" "," ",($E$26-$B$3*($F$8))*((D35/($F$8))-($C$18/(PI()))*SIN((PI()*D35)/($F$8)))+$B$3*D35)</f>
        <v>0.104618514091954</v>
      </c>
      <c r="F35" s="31">
        <f t="shared" si="5"/>
        <v>1.19302510257624</v>
      </c>
      <c r="G35" s="31"/>
      <c r="H35" s="31">
        <f t="shared" si="2"/>
        <v>7</v>
      </c>
      <c r="I35" s="31">
        <f>IF(H35=" "," ",($I$26-$D$3*$F$13)*((H35/$F$13)-($C$18/(PI()))*SIN((PI()*H35)/$F$13))+$D$3*H35)</f>
        <v>0.105968088636583</v>
      </c>
      <c r="J35" s="31">
        <f t="shared" si="6"/>
        <v>1.19742516964239</v>
      </c>
      <c r="K35" s="31">
        <f t="shared" si="3"/>
        <v>7</v>
      </c>
      <c r="L35" s="31">
        <f>IF(K35=" "," ",($L$26-$D$3*$F$12)*((K35/$F$12)-($C$18/(PI()))*SIN((PI()*K35)/$F$12))+$D$3*K35)</f>
        <v>0.105140638558355</v>
      </c>
      <c r="M35" s="31">
        <f t="shared" si="7"/>
        <v>1.19443196768889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0.132033785058829</v>
      </c>
      <c r="C36" s="31">
        <f t="shared" si="4"/>
        <v>1.18741836646584</v>
      </c>
      <c r="D36" s="31">
        <f t="shared" si="1"/>
        <v>8</v>
      </c>
      <c r="E36" s="31">
        <f>IF(D36=" "," ",($E$26-$B$3*($F$8))*((D36/($F$8))-($C$18/(PI()))*SIN((PI()*D36)/($F$8)))+$B$3*D36)</f>
        <v>0.132033785058829</v>
      </c>
      <c r="F36" s="31">
        <f t="shared" si="5"/>
        <v>1.18741836646584</v>
      </c>
      <c r="G36" s="31"/>
      <c r="H36" s="31">
        <f t="shared" si="2"/>
        <v>8</v>
      </c>
      <c r="I36" s="31">
        <f>IF(H36=" "," ",($I$26-$D$3*$F$13)*((H36/$F$13)-($C$18/(PI()))*SIN((PI()*H36)/$F$13))+$D$3*H36)</f>
        <v>0.134090523219239</v>
      </c>
      <c r="J36" s="31">
        <f t="shared" si="6"/>
        <v>1.19146096185822</v>
      </c>
      <c r="K36" s="31">
        <f t="shared" si="3"/>
        <v>8</v>
      </c>
      <c r="L36" s="31">
        <f>IF(K36=" "," ",($L$26-$D$3*$F$12)*((K36/$F$12)-($C$18/(PI()))*SIN((PI()*K36)/$F$12))+$D$3*K36)</f>
        <v>0.132811260535285</v>
      </c>
      <c r="M36" s="31">
        <f t="shared" si="7"/>
        <v>1.18856200662741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0.164353684886811</v>
      </c>
      <c r="C37" s="31">
        <f t="shared" si="4"/>
        <v>1.17890134542288</v>
      </c>
      <c r="D37" s="31">
        <f t="shared" si="1"/>
        <v>9</v>
      </c>
      <c r="E37" s="31">
        <f>IF(D37=" "," ",($E$26-$B$3*($F$8))*((D37/($F$8))-($C$18/(PI()))*SIN((PI()*D37)/($F$8)))+$B$3*D37)</f>
        <v>0.164353684886811</v>
      </c>
      <c r="F37" s="31">
        <f t="shared" si="5"/>
        <v>1.17890134542288</v>
      </c>
      <c r="G37" s="31"/>
      <c r="H37" s="31">
        <f t="shared" si="2"/>
        <v>9</v>
      </c>
      <c r="I37" s="31">
        <f>IF(H37=" "," ",($I$26-$D$3*$F$13)*((H37/$F$13)-($C$18/(PI()))*SIN((PI()*H37)/$F$13))+$D$3*H37)</f>
        <v>0.167349951158142</v>
      </c>
      <c r="J37" s="31">
        <f t="shared" si="6"/>
        <v>1.1826653144538</v>
      </c>
      <c r="K37" s="31">
        <f t="shared" si="3"/>
        <v>9</v>
      </c>
      <c r="L37" s="31">
        <f>IF(K37=" "," ",($L$26-$D$3*$F$12)*((K37/$F$12)-($C$18/(PI()))*SIN((PI()*K37)/$F$12))+$D$3*K37)</f>
        <v>0.16545760888502</v>
      </c>
      <c r="M37" s="31">
        <f t="shared" si="7"/>
        <v>1.17981982396179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0.20213970473348</v>
      </c>
      <c r="C38" s="31">
        <f t="shared" si="4"/>
        <v>1.16912552476277</v>
      </c>
      <c r="D38" s="31">
        <f t="shared" si="1"/>
        <v>10</v>
      </c>
      <c r="E38" s="31">
        <f>IF(D38=" "," ",($E$26-$B$3*($F$8))*((D38/($F$8))-($C$18/(PI()))*SIN((PI()*D38)/($F$8)))+$B$3*D38)</f>
        <v>0.20213970473348</v>
      </c>
      <c r="F38" s="31">
        <f t="shared" si="5"/>
        <v>1.16912552476277</v>
      </c>
      <c r="G38" s="31"/>
      <c r="H38" s="31">
        <f t="shared" si="2"/>
        <v>10</v>
      </c>
      <c r="I38" s="31">
        <f>IF(H38=" "," ",($I$26-$D$3*$F$13)*((H38/$F$13)-($C$18/(PI()))*SIN((PI()*H38)/$F$13))+$D$3*H38)</f>
        <v>0.206353288819244</v>
      </c>
      <c r="J38" s="31">
        <f t="shared" si="6"/>
        <v>1.17270019594893</v>
      </c>
      <c r="K38" s="31">
        <f t="shared" si="3"/>
        <v>10</v>
      </c>
      <c r="L38" s="31">
        <f>IF(K38=" "," ",($L$26-$D$3*$F$12)*((K38/$F$12)-($C$18/(PI()))*SIN((PI()*K38)/$F$12))+$D$3*K38)</f>
        <v>0.203649314142304</v>
      </c>
      <c r="M38" s="31">
        <f t="shared" si="7"/>
        <v>1.1698614757198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0.245935506409063</v>
      </c>
      <c r="C39" s="31">
        <f t="shared" si="4"/>
        <v>1.15904776034368</v>
      </c>
      <c r="D39" s="31">
        <f t="shared" si="1"/>
        <v>11</v>
      </c>
      <c r="E39" s="31">
        <f>IF(D39=" "," ",($E$26-$B$3*($F$8))*((D39/($F$8))-($C$18/(PI()))*SIN((PI()*D39)/($F$8)))+$B$3*D39)</f>
        <v>0.245935506409063</v>
      </c>
      <c r="F39" s="31">
        <f t="shared" si="5"/>
        <v>1.15904776034368</v>
      </c>
      <c r="G39" s="31"/>
      <c r="H39" s="31">
        <f t="shared" si="2"/>
        <v>11</v>
      </c>
      <c r="I39" s="31">
        <f>IF(H39=" "," ",($I$26-$D$3*$F$13)*((H39/$F$13)-($C$18/(PI()))*SIN((PI()*H39)/$F$13))+$D$3*H39)</f>
        <v>0.251695194775683</v>
      </c>
      <c r="J39" s="31">
        <f t="shared" si="6"/>
        <v>1.16251348411292</v>
      </c>
      <c r="K39" s="31">
        <f t="shared" si="3"/>
        <v>11</v>
      </c>
      <c r="L39" s="31">
        <f>IF(K39=" "," ",($L$26-$D$3*$F$12)*((K39/$F$12)-($C$18/(PI()))*SIN((PI()*K39)/$F$12))+$D$3*K39)</f>
        <v>0.247937919040264</v>
      </c>
      <c r="M39" s="31">
        <f t="shared" si="7"/>
        <v>1.15963936670551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0.296265149064607</v>
      </c>
      <c r="C40" s="31">
        <f t="shared" si="4"/>
        <v>1.14918875166069</v>
      </c>
      <c r="D40" s="31">
        <f t="shared" si="1"/>
        <v>12</v>
      </c>
      <c r="E40" s="31">
        <f>IF(D40=" "," ",($E$26-$B$3*($F$8))*((D40/($F$8))-($C$18/(PI()))*SIN((PI()*D40)/($F$8)))+$B$3*D40)</f>
        <v>0.296265149064607</v>
      </c>
      <c r="F40" s="31">
        <f t="shared" si="5"/>
        <v>1.14918875166069</v>
      </c>
      <c r="G40" s="31"/>
      <c r="H40" s="31">
        <f t="shared" si="2"/>
        <v>12</v>
      </c>
      <c r="I40" s="31">
        <f>IF(H40=" "," ",($I$26-$D$3*$F$13)*((H40/$F$13)-($C$18/(PI()))*SIN((PI()*H40)/$F$13))+$D$3*H40)</f>
        <v>0.303956800776422</v>
      </c>
      <c r="J40" s="31">
        <f t="shared" si="6"/>
        <v>1.15261158300109</v>
      </c>
      <c r="K40" s="31">
        <f t="shared" si="3"/>
        <v>12</v>
      </c>
      <c r="L40" s="31">
        <f>IF(K40=" "," ",($L$26-$D$3*$F$12)*((K40/$F$12)-($C$18/(PI()))*SIN((PI()*K40)/$F$12))+$D$3*K40)</f>
        <v>0.298855079492652</v>
      </c>
      <c r="M40" s="31">
        <f t="shared" si="7"/>
        <v>1.14966729183952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0.353631379819955</v>
      </c>
      <c r="C41" s="31">
        <f t="shared" si="4"/>
        <v>1.1398100151031</v>
      </c>
      <c r="D41" s="31">
        <f t="shared" si="1"/>
        <v>13</v>
      </c>
      <c r="E41" s="31">
        <f>IF(D41=" "," ",($E$26-$B$3*($F$8))*((D41/($F$8))-($C$18/(PI()))*SIN((PI()*D41)/($F$8)))+$B$3*D41)</f>
        <v>0.353631379819955</v>
      </c>
      <c r="F41" s="31">
        <f t="shared" si="5"/>
        <v>1.1398100151031</v>
      </c>
      <c r="G41" s="31"/>
      <c r="H41" s="31">
        <f t="shared" si="2"/>
        <v>13</v>
      </c>
      <c r="I41" s="31">
        <f>IF(H41=" "," ",($I$26-$D$3*$F$13)*((H41/$F$13)-($C$18/(PI()))*SIN((PI()*H41)/$F$13))+$D$3*H41)</f>
        <v>0.363704471581807</v>
      </c>
      <c r="J41" s="31">
        <f t="shared" si="6"/>
        <v>1.14324214997413</v>
      </c>
      <c r="K41" s="31">
        <f t="shared" si="3"/>
        <v>13</v>
      </c>
      <c r="L41" s="31">
        <f>IF(K41=" "," ",($L$26-$D$3*$F$12)*((K41/$F$12)-($C$18/(PI()))*SIN((PI()*K41)/$F$12))+$D$3*K41)</f>
        <v>0.356910830442766</v>
      </c>
      <c r="M41" s="31">
        <f t="shared" si="7"/>
        <v>1.140200090388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0.418513993907142</v>
      </c>
      <c r="C42" s="31">
        <f t="shared" si="4"/>
        <v>1.13102452841801</v>
      </c>
      <c r="D42" s="31">
        <f t="shared" si="1"/>
        <v>14</v>
      </c>
      <c r="E42" s="31">
        <f>IF(D42=" "," ",($E$26-$B$3*($F$8))*((D42/($F$8))-($C$18/(PI()))*SIN((PI()*D42)/($F$8)))+$B$3*D42)</f>
        <v>0.418513993907142</v>
      </c>
      <c r="F42" s="31">
        <f t="shared" si="5"/>
        <v>1.13102452841801</v>
      </c>
      <c r="G42" s="31"/>
      <c r="H42" s="31">
        <f t="shared" si="2"/>
        <v>14</v>
      </c>
      <c r="I42" s="31">
        <f>IF(H42=" "," ",($I$26-$D$3*$F$13)*((H42/$F$13)-($C$18/(PI()))*SIN((PI()*H42)/$F$13))+$D$3*H42)</f>
        <v>0.431488596312634</v>
      </c>
      <c r="J42" s="31">
        <f t="shared" si="6"/>
        <v>1.13450656430806</v>
      </c>
      <c r="K42" s="31">
        <f t="shared" si="3"/>
        <v>14</v>
      </c>
      <c r="L42" s="31">
        <f>IF(K42=" "," ",($L$26-$D$3*$F$12)*((K42/$F$12)-($C$18/(PI()))*SIN((PI()*K42)/$F$12))+$D$3*K42)</f>
        <v>0.422591922235468</v>
      </c>
      <c r="M42" s="31">
        <f t="shared" si="7"/>
        <v>1.13134514182999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0.491368269678069</v>
      </c>
      <c r="C43" s="31">
        <f t="shared" si="4"/>
        <v>1.12286283152876</v>
      </c>
      <c r="D43" s="31">
        <f t="shared" si="1"/>
        <v>15</v>
      </c>
      <c r="E43" s="31">
        <f>IF(D43=" "," ",($E$26-$B$3*($F$8))*((D43/($F$8))-($C$18/(PI()))*SIN((PI()*D43)/($F$8)))+$B$3*D43)</f>
        <v>0.491368269678069</v>
      </c>
      <c r="F43" s="31">
        <f t="shared" si="5"/>
        <v>1.12286283152876</v>
      </c>
      <c r="G43" s="31"/>
      <c r="H43" s="31">
        <f t="shared" si="2"/>
        <v>15</v>
      </c>
      <c r="I43" s="31">
        <f>IF(H43=" "," ",($I$26-$D$3*$F$13)*((H43/$F$13)-($C$18/(PI()))*SIN((PI()*H43)/$F$13))+$D$3*H43)</f>
        <v>0.507842413892016</v>
      </c>
      <c r="J43" s="31">
        <f t="shared" si="6"/>
        <v>1.12642625220265</v>
      </c>
      <c r="K43" s="31">
        <f t="shared" si="3"/>
        <v>15</v>
      </c>
      <c r="L43" s="31">
        <f>IF(K43=" "," ",($L$26-$D$3*$F$12)*((K43/$F$12)-($C$18/(PI()))*SIN((PI()*K43)/$F$12))+$D$3*K43)</f>
        <v>0.496360232938739</v>
      </c>
      <c r="M43" s="31">
        <f t="shared" si="7"/>
        <v>1.12312857003188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0.572623483581153</v>
      </c>
      <c r="C44" s="31">
        <f t="shared" si="4"/>
        <v>1.11531153172907</v>
      </c>
      <c r="D44" s="31">
        <f t="shared" si="1"/>
        <v>16</v>
      </c>
      <c r="E44" s="31">
        <f>IF(D44=" "," ",($E$26-$B$3*($F$8))*((D44/($F$8))-($C$18/(PI()))*SIN((PI()*D44)/($F$8)))+$B$3*D44)</f>
        <v>0.572623483581153</v>
      </c>
      <c r="F44" s="31">
        <f t="shared" si="5"/>
        <v>1.11531153172907</v>
      </c>
      <c r="G44" s="31"/>
      <c r="H44" s="31">
        <f t="shared" si="2"/>
        <v>16</v>
      </c>
      <c r="I44" s="31">
        <f>IF(H44=" "," ",($I$26-$D$3*$F$13)*((H44/$F$13)-($C$18/(PI()))*SIN((PI()*H44)/$F$13))+$D$3*H44)</f>
        <v>0.593280875086661</v>
      </c>
      <c r="J44" s="31">
        <f t="shared" si="6"/>
        <v>1.11898086963128</v>
      </c>
      <c r="K44" s="31">
        <f t="shared" si="3"/>
        <v>16</v>
      </c>
      <c r="L44" s="31">
        <f>IF(K44=" "," ",($L$26-$D$3*$F$12)*((K44/$F$12)-($C$18/(PI()))*SIN((PI()*K44)/$F$12))+$D$3*K44)</f>
        <v>0.578651261793418</v>
      </c>
      <c r="M44" s="31">
        <f t="shared" si="7"/>
        <v>1.11553359525462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0.662681509950779</v>
      </c>
      <c r="C45" s="31">
        <f t="shared" si="4"/>
        <v>1.10833535527998</v>
      </c>
      <c r="D45" s="31">
        <f t="shared" si="1"/>
        <v>17</v>
      </c>
      <c r="E45" s="31">
        <f>IF(D45=" "," ",($E$26-$B$3*($F$8))*((D45/($F$8))-($C$18/(PI()))*SIN((PI()*D45)/($F$8)))+$B$3*D45)</f>
        <v>0.662681509950779</v>
      </c>
      <c r="F45" s="31">
        <f t="shared" si="5"/>
        <v>1.10833535527998</v>
      </c>
      <c r="G45" s="31"/>
      <c r="H45" s="31">
        <f t="shared" si="2"/>
        <v>17</v>
      </c>
      <c r="I45" s="31">
        <f>IF(H45=" "," ",($I$26-$D$3*$F$13)*((H45/$F$13)-($C$18/(PI()))*SIN((PI()*H45)/$F$13))+$D$3*H45)</f>
        <v>0.688299543575978</v>
      </c>
      <c r="J45" s="31">
        <f t="shared" si="6"/>
        <v>1.11212991386684</v>
      </c>
      <c r="K45" s="31">
        <f t="shared" si="3"/>
        <v>17</v>
      </c>
      <c r="L45" s="31">
        <f>IF(K45=" "," ",($L$26-$D$3*$F$12)*((K45/$F$12)-($C$18/(PI()))*SIN((PI()*K45)/$F$12))+$D$3*K45)</f>
        <v>0.669872708705203</v>
      </c>
      <c r="M45" s="31">
        <f t="shared" si="7"/>
        <v>1.10852237700024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0.761915510176752</v>
      </c>
      <c r="C46" s="31">
        <f t="shared" si="4"/>
        <v>1.101889573048</v>
      </c>
      <c r="D46" s="31">
        <f t="shared" si="1"/>
        <v>18</v>
      </c>
      <c r="E46" s="31">
        <f>IF(D46=" "," ",($E$26-$B$3*($F$8))*((D46/($F$8))-($C$18/(PI()))*SIN((PI()*D46)/($F$8)))+$B$3*D46)</f>
        <v>0.761915510176752</v>
      </c>
      <c r="F46" s="31">
        <f t="shared" si="5"/>
        <v>1.101889573048</v>
      </c>
      <c r="G46" s="31"/>
      <c r="H46" s="31">
        <f t="shared" si="2"/>
        <v>18</v>
      </c>
      <c r="I46" s="31">
        <f>IF(H46=" "," ",($I$26-$D$3*$F$13)*((H46/$F$13)-($C$18/(PI()))*SIN((PI()*H46)/$F$13))+$D$3*H46)</f>
        <v>0.793373538394208</v>
      </c>
      <c r="J46" s="31">
        <f t="shared" si="6"/>
        <v>1.10582474464</v>
      </c>
      <c r="K46" s="31">
        <f t="shared" si="3"/>
        <v>18</v>
      </c>
      <c r="L46" s="31">
        <f>IF(K46=" "," ",($L$26-$D$3*$F$12)*((K46/$F$12)-($C$18/(PI()))*SIN((PI()*K46)/$F$12))+$D$3*K46)</f>
        <v>0.770403144412297</v>
      </c>
      <c r="M46" s="31">
        <f t="shared" si="7"/>
        <v>1.10204824753889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0.870668715529402</v>
      </c>
      <c r="C47" s="31">
        <f t="shared" si="4"/>
        <v>1.09592685072655</v>
      </c>
      <c r="D47" s="31">
        <f t="shared" si="1"/>
        <v>19</v>
      </c>
      <c r="E47" s="31">
        <f>IF(D47=" "," ",($E$26-$B$3*($F$8))*((D47/($F$8))-($C$18/(PI()))*SIN((PI()*D47)/($F$8)))+$B$3*D47)</f>
        <v>0.870668715529402</v>
      </c>
      <c r="F47" s="31">
        <f t="shared" si="5"/>
        <v>1.09592685072655</v>
      </c>
      <c r="G47" s="31"/>
      <c r="H47" s="31">
        <f t="shared" si="2"/>
        <v>19</v>
      </c>
      <c r="I47" s="31">
        <f>IF(H47=" "," ",($I$26-$D$3*$F$13)*((H47/$F$13)-($C$18/(PI()))*SIN((PI()*H47)/$F$13))+$D$3*H47)</f>
        <v>0.908956520002471</v>
      </c>
      <c r="J47" s="31">
        <f t="shared" si="6"/>
        <v>1.10001510657525</v>
      </c>
      <c r="K47" s="31">
        <f t="shared" si="3"/>
        <v>19</v>
      </c>
      <c r="L47" s="31">
        <f>IF(K47=" "," ",($L$26-$D$3*$F$12)*((K47/$F$12)-($C$18/(PI()))*SIN((PI()*K47)/$F$12))+$D$3*K47)</f>
        <v>0.880590775666344</v>
      </c>
      <c r="M47" s="31">
        <f t="shared" si="7"/>
        <v>1.09606240616613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0.989253307610524</v>
      </c>
      <c r="C48" s="31">
        <f t="shared" si="4"/>
        <v>1.09040089160217</v>
      </c>
      <c r="D48" s="31">
        <f t="shared" si="1"/>
        <v>20</v>
      </c>
      <c r="E48" s="31">
        <f>IF(D48=" "," ",($E$26-$B$3*($F$8))*((D48/($F$8))-($C$18/(PI()))*SIN((PI()*D48)/($F$8)))+$B$3*D48)</f>
        <v>0.989253307610524</v>
      </c>
      <c r="F48" s="31">
        <f t="shared" si="5"/>
        <v>1.09040089160217</v>
      </c>
      <c r="G48" s="31"/>
      <c r="H48" s="31">
        <f t="shared" si="2"/>
        <v>20</v>
      </c>
      <c r="I48" s="31">
        <f>IF(H48=" "," ",($I$26-$D$3*$F$13)*((H48/$F$13)-($C$18/(PI()))*SIN((PI()*H48)/$F$13))+$D$3*H48)</f>
        <v>1.03547972215447</v>
      </c>
      <c r="J48" s="31">
        <f t="shared" si="6"/>
        <v>1.09465252056583</v>
      </c>
      <c r="K48" s="31">
        <f t="shared" si="3"/>
        <v>20</v>
      </c>
      <c r="L48" s="31">
        <f>IF(K48=" "," ",($L$26-$D$3*$F$12)*((K48/$F$12)-($C$18/(PI()))*SIN((PI()*K48)/$F$12))+$D$3*K48)</f>
        <v>1.00075230945439</v>
      </c>
      <c r="M48" s="31">
        <f t="shared" si="7"/>
        <v>1.09051744211654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1.11794940008188</v>
      </c>
      <c r="C49" s="31">
        <f t="shared" si="4"/>
        <v>1.08526824786241</v>
      </c>
      <c r="D49" s="31">
        <f t="shared" si="1"/>
        <v>21</v>
      </c>
      <c r="E49" s="31">
        <f>IF(D49=" "," ",($E$26-$B$3*($F$8))*((D49/($F$8))-($C$18/(PI()))*SIN((PI()*D49)/($F$8)))+$B$3*D49)</f>
        <v>1.11794940008188</v>
      </c>
      <c r="F49" s="31">
        <f t="shared" si="5"/>
        <v>1.08526824786241</v>
      </c>
      <c r="G49" s="31"/>
      <c r="H49" s="31">
        <f t="shared" si="2"/>
        <v>21</v>
      </c>
      <c r="I49" s="31">
        <f>IF(H49=" "," ",($I$26-$D$3*$F$13)*((H49/$F$13)-($C$18/(PI()))*SIN((PI()*H49)/$F$13))+$D$3*H49)</f>
        <v>1.17335103162193</v>
      </c>
      <c r="J49" s="31">
        <f t="shared" si="6"/>
        <v>1.08969190727432</v>
      </c>
      <c r="K49" s="31">
        <f t="shared" si="3"/>
        <v>21</v>
      </c>
      <c r="L49" s="31">
        <f>IF(K49=" "," ",($L$26-$D$3*$F$12)*((K49/$F$12)-($C$18/(PI()))*SIN((PI()*K49)/$F$12))+$D$3*K49)</f>
        <v>1.1311719199665</v>
      </c>
      <c r="M49" s="31">
        <f t="shared" si="7"/>
        <v>1.08536905614208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1.25700412499267</v>
      </c>
      <c r="C50" s="31">
        <f t="shared" si="4"/>
        <v>1.08048909831301</v>
      </c>
      <c r="D50" s="31">
        <f t="shared" si="1"/>
        <v>22</v>
      </c>
      <c r="E50" s="31">
        <f>IF(D50=" "," ",($E$26-$B$3*($F$8))*((D50/($F$8))-($C$18/(PI()))*SIN((PI()*D50)/($F$8)))+$B$3*D50)</f>
        <v>1.25700412499267</v>
      </c>
      <c r="F50" s="31">
        <f t="shared" si="5"/>
        <v>1.08048909831301</v>
      </c>
      <c r="G50" s="31"/>
      <c r="H50" s="31">
        <f t="shared" si="2"/>
        <v>22</v>
      </c>
      <c r="I50" s="31">
        <f>IF(H50=" "," ",($I$26-$D$3*$F$13)*((H50/$F$13)-($C$18/(PI()))*SIN((PI()*H50)/$F$13))+$D$3*H50)</f>
        <v>1.32295411774369</v>
      </c>
      <c r="J50" s="31">
        <f t="shared" si="6"/>
        <v>1.08509222621885</v>
      </c>
      <c r="K50" s="31">
        <f t="shared" si="3"/>
        <v>22</v>
      </c>
      <c r="L50" s="31">
        <f>IF(K50=" "," ",($L$26-$D$3*$F$12)*((K50/$F$12)-($C$18/(PI()))*SIN((PI()*K50)/$F$12))+$D$3*K50)</f>
        <v>1.27210032167866</v>
      </c>
      <c r="M50" s="31">
        <f t="shared" si="7"/>
        <v>1.08057677184262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1.40663082668612</v>
      </c>
      <c r="C51" s="31">
        <f t="shared" si="4"/>
        <v>1.07602745458269</v>
      </c>
      <c r="D51" s="31">
        <f t="shared" si="1"/>
        <v>23</v>
      </c>
      <c r="E51" s="31">
        <f>IF(D51=" "," ",($E$26-$B$3*($F$8))*((D51/($F$8))-($C$18/(PI()))*SIN((PI()*D51)/($F$8)))+$B$3*D51)</f>
        <v>1.40663082668612</v>
      </c>
      <c r="F51" s="31">
        <f t="shared" si="5"/>
        <v>1.07602745458269</v>
      </c>
      <c r="G51" s="31"/>
      <c r="H51" s="31">
        <f t="shared" si="2"/>
        <v>23</v>
      </c>
      <c r="I51" s="31">
        <f>IF(H51=" "," ",($I$26-$D$3*$F$13)*((H51/$F$13)-($C$18/(PI()))*SIN((PI()*H51)/$F$13))+$D$3*H51)</f>
        <v>1.48464761365596</v>
      </c>
      <c r="J51" s="31">
        <f t="shared" si="6"/>
        <v>1.08081658008492</v>
      </c>
      <c r="K51" s="31">
        <f t="shared" si="3"/>
        <v>23</v>
      </c>
      <c r="L51" s="31">
        <f>IF(K51=" "," ",($L$26-$D$3*$F$12)*((K51/$F$12)-($C$18/(PI()))*SIN((PI()*K51)/$F$12))+$D$3*K51)</f>
        <v>1.42375395157419</v>
      </c>
      <c r="M51" s="31">
        <f t="shared" si="7"/>
        <v>1.07610409295132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1.56700836591461</v>
      </c>
      <c r="C52" s="31">
        <f t="shared" si="4"/>
        <v>1.07185106276733</v>
      </c>
      <c r="D52" s="31">
        <f t="shared" si="1"/>
        <v>24</v>
      </c>
      <c r="E52" s="31">
        <f>IF(D52=" "," ",($E$26-$B$3*($F$8))*((D52/($F$8))-($C$18/(PI()))*SIN((PI()*D52)/($F$8)))+$B$3*D52)</f>
        <v>1.56700836591461</v>
      </c>
      <c r="F52" s="31">
        <f t="shared" si="5"/>
        <v>1.07185106276733</v>
      </c>
      <c r="G52" s="31"/>
      <c r="H52" s="31">
        <f t="shared" si="2"/>
        <v>24</v>
      </c>
      <c r="I52" s="31">
        <f>IF(H52=" "," ",($I$26-$D$3*$F$13)*((H52/$F$13)-($C$18/(PI()))*SIN((PI()*H52)/$F$13))+$D$3*H52)</f>
        <v>1.65876435095118</v>
      </c>
      <c r="J52" s="31">
        <f t="shared" si="6"/>
        <v>1.07683204146742</v>
      </c>
      <c r="K52" s="31">
        <f t="shared" si="3"/>
        <v>24</v>
      </c>
      <c r="L52" s="31">
        <f>IF(K52=" "," ",($L$26-$D$3*$F$12)*((K52/$F$12)-($C$18/(PI()))*SIN((PI()*K52)/$F$12))+$D$3*K52)</f>
        <v>1.58631426317139</v>
      </c>
      <c r="M52" s="31">
        <f t="shared" si="7"/>
        <v>1.07191836891192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1.73828053643308</v>
      </c>
      <c r="C53" s="31">
        <f t="shared" si="4"/>
        <v>1.06793115384101</v>
      </c>
      <c r="D53" s="31">
        <f t="shared" si="1"/>
        <v>25</v>
      </c>
      <c r="E53" s="31">
        <f>IF(D53=" "," ",($E$26-$B$3*($F$8))*((D53/($F$8))-($C$18/(PI()))*SIN((PI()*D53)/($F$8)))+$B$3*D53)</f>
        <v>1.73828053643308</v>
      </c>
      <c r="F53" s="31">
        <f t="shared" si="5"/>
        <v>1.06793115384101</v>
      </c>
      <c r="G53" s="31"/>
      <c r="H53" s="31">
        <f t="shared" si="2"/>
        <v>25</v>
      </c>
      <c r="I53" s="31">
        <f>IF(H53=" "," ",($I$26-$D$3*$F$13)*((H53/$F$13)-($C$18/(PI()))*SIN((PI()*H53)/$F$13))+$D$3*H53)</f>
        <v>1.84561064939858</v>
      </c>
      <c r="J53" s="31">
        <f t="shared" si="6"/>
        <v>1.07310934807263</v>
      </c>
      <c r="K53" s="31">
        <f t="shared" si="3"/>
        <v>25</v>
      </c>
      <c r="L53" s="31">
        <f>IF(K53=" "," ",($L$26-$D$3*$F$12)*((K53/$F$12)-($C$18/(PI()))*SIN((PI()*K53)/$F$12))+$D$3*K53)</f>
        <v>1.75992713465978</v>
      </c>
      <c r="M53" s="31">
        <f t="shared" si="7"/>
        <v>1.06799051861189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1.92055559597365</v>
      </c>
      <c r="C54" s="31">
        <f t="shared" si="4"/>
        <v>1.06424212987317</v>
      </c>
      <c r="D54" s="31">
        <f t="shared" si="1"/>
        <v>26</v>
      </c>
      <c r="E54" s="31">
        <f>IF(D54=" "," ",($E$26-$B$3*($F$8))*((D54/($F$8))-($C$18/(PI()))*SIN((PI()*D54)/($F$8)))+$B$3*D54)</f>
        <v>1.92055559597365</v>
      </c>
      <c r="F54" s="31">
        <f t="shared" si="5"/>
        <v>1.06424212987317</v>
      </c>
      <c r="G54" s="31"/>
      <c r="H54" s="31">
        <f t="shared" si="2"/>
        <v>26</v>
      </c>
      <c r="I54" s="31">
        <f>IF(H54=" "," ",($I$26-$D$3*$F$13)*((H54/$F$13)-($C$18/(PI()))*SIN((PI()*H54)/$F$13))+$D$3*H54)</f>
        <v>2.0454656632424</v>
      </c>
      <c r="J54" s="31">
        <f t="shared" si="6"/>
        <v>1.06962254807571</v>
      </c>
      <c r="K54" s="31">
        <f t="shared" si="3"/>
        <v>26</v>
      </c>
      <c r="L54" s="31">
        <f>IF(K54=" "," ",($L$26-$D$3*$F$12)*((K54/$F$12)-($C$18/(PI()))*SIN((PI()*K54)/$F$12))+$D$3*K54)</f>
        <v>1.94470239307586</v>
      </c>
      <c r="M54" s="31">
        <f t="shared" si="7"/>
        <v>1.0642946967698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2.11390591313145</v>
      </c>
      <c r="C55" s="31">
        <f t="shared" si="4"/>
        <v>1.06076123439566</v>
      </c>
      <c r="D55" s="31">
        <f t="shared" si="1"/>
        <v>27</v>
      </c>
      <c r="E55" s="31">
        <f>IF(D55=" "," ",($E$26-$B$3*($F$8))*((D55/($F$8))-($C$18/(PI()))*SIN((PI()*D55)/($F$8)))+$B$3*D55)</f>
        <v>2.11390591313145</v>
      </c>
      <c r="F55" s="31">
        <f t="shared" si="5"/>
        <v>1.06076123439566</v>
      </c>
      <c r="G55" s="31"/>
      <c r="H55" s="31">
        <f t="shared" si="2"/>
        <v>27</v>
      </c>
      <c r="I55" s="31">
        <f>IF(H55=" "," ",($I$26-$D$3*$F$13)*((H55/$F$13)-($C$18/(PI()))*SIN((PI()*H55)/$F$13))+$D$3*H55)</f>
        <v>2.25858078547266</v>
      </c>
      <c r="J55" s="31">
        <f t="shared" si="6"/>
        <v>1.06634864010363</v>
      </c>
      <c r="K55" s="31">
        <f t="shared" si="3"/>
        <v>27</v>
      </c>
      <c r="L55" s="31">
        <f>IF(K55=" "," ",($L$26-$D$3*$F$12)*((K55/$F$12)-($C$18/(PI()))*SIN((PI()*K55)/$F$12))+$D$3*K55)</f>
        <v>2.14071345607007</v>
      </c>
      <c r="M55" s="31">
        <f t="shared" si="7"/>
        <v>1.06080794947572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2.31836773131327</v>
      </c>
      <c r="C56" s="31">
        <f t="shared" si="4"/>
        <v>1.05746823272572</v>
      </c>
      <c r="D56" s="31">
        <f t="shared" si="1"/>
        <v>28</v>
      </c>
      <c r="E56" s="31">
        <f>IF(D56=" "," ",($E$26-$B$3*($F$8))*((D56/($F$8))-($C$18/(PI()))*SIN((PI()*D56)/($F$8)))+$B$3*D56)</f>
        <v>2.31836773131327</v>
      </c>
      <c r="F56" s="31">
        <f t="shared" si="5"/>
        <v>1.05746823272572</v>
      </c>
      <c r="G56" s="31"/>
      <c r="H56" s="31">
        <f t="shared" si="2"/>
        <v>28</v>
      </c>
      <c r="I56" s="31">
        <f>IF(H56=" "," ",($I$26-$D$3*$F$13)*((H56/$F$13)-($C$18/(PI()))*SIN((PI()*H56)/$F$13))+$D$3*H56)</f>
        <v>2.48517911133979</v>
      </c>
      <c r="J56" s="31">
        <f t="shared" si="6"/>
        <v>1.06326723085525</v>
      </c>
      <c r="K56" s="31">
        <f t="shared" si="3"/>
        <v>28</v>
      </c>
      <c r="L56" s="31">
        <f>IF(K56=" "," ",($L$26-$D$3*$F$12)*((K56/$F$12)-($C$18/(PI()))*SIN((PI()*K56)/$F$12))+$D$3*K56)</f>
        <v>2.34799709243371</v>
      </c>
      <c r="M56" s="31">
        <f t="shared" si="7"/>
        <v>1.05750988335675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2.53394105051911</v>
      </c>
      <c r="C57" s="31">
        <f t="shared" si="4"/>
        <v>1.05434511500889</v>
      </c>
      <c r="D57" s="31">
        <f t="shared" si="1"/>
        <v>29</v>
      </c>
      <c r="E57" s="31">
        <f>IF(D57=" "," ",($E$26-$B$3*($F$8))*((D57/($F$8))-($C$18/(PI()))*SIN((PI()*D57)/($F$8)))+$B$3*D57)</f>
        <v>2.53394105051911</v>
      </c>
      <c r="F57" s="31">
        <f t="shared" si="5"/>
        <v>1.05434511500889</v>
      </c>
      <c r="G57" s="31"/>
      <c r="H57" s="31">
        <f t="shared" si="2"/>
        <v>29</v>
      </c>
      <c r="I57" s="31">
        <f>IF(H57=" "," ",($I$26-$D$3*$F$13)*((H57/$F$13)-($C$18/(PI()))*SIN((PI()*H57)/$F$13))+$D$3*H57)</f>
        <v>2.72545496225823</v>
      </c>
      <c r="J57" s="31">
        <f t="shared" si="6"/>
        <v>1.06036022110471</v>
      </c>
      <c r="K57" s="31">
        <f t="shared" si="3"/>
        <v>29</v>
      </c>
      <c r="L57" s="31">
        <f>IF(K57=" "," ",($L$26-$D$3*$F$12)*((K57/$F$12)-($C$18/(PI()))*SIN((PI()*K57)/$F$12))+$D$3*K57)</f>
        <v>2.56655330216677</v>
      </c>
      <c r="M57" s="31">
        <f t="shared" si="7"/>
        <v>1.05438236016689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2.76058962734217</v>
      </c>
      <c r="C58" s="31">
        <f t="shared" si="4"/>
        <v>1.05137582729638</v>
      </c>
      <c r="D58" s="31">
        <f t="shared" si="1"/>
        <v>30</v>
      </c>
      <c r="E58" s="31">
        <f>IF(D58=" "," ",($E$26-$B$3*($F$8))*((D58/($F$8))-($C$18/(PI()))*SIN((PI()*D58)/($F$8)))+$B$3*D58)</f>
        <v>2.76058962734217</v>
      </c>
      <c r="F58" s="31">
        <f t="shared" si="5"/>
        <v>1.05137582729638</v>
      </c>
      <c r="G58" s="31"/>
      <c r="H58" s="31">
        <f t="shared" si="2"/>
        <v>30</v>
      </c>
      <c r="I58" s="31">
        <f>IF(H58=" "," ",($I$26-$D$3*$F$13)*((H58/$F$13)-($C$18/(PI()))*SIN((PI()*H58)/$F$13))+$D$3*H58)</f>
        <v>2.97957347111463</v>
      </c>
      <c r="J58" s="31">
        <f t="shared" si="6"/>
        <v>1.05761152394239</v>
      </c>
      <c r="K58" s="31">
        <f t="shared" si="3"/>
        <v>30</v>
      </c>
      <c r="L58" s="31">
        <f>IF(K58=" "," ",($L$26-$D$3*$F$12)*((K58/$F$12)-($C$18/(PI()))*SIN((PI()*K58)/$F$12))+$D$3*K58)</f>
        <v>2.79634531647797</v>
      </c>
      <c r="M58" s="31">
        <f t="shared" si="7"/>
        <v>1.05140922141654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2.99824109318734</v>
      </c>
      <c r="C59" s="31">
        <f t="shared" si="4"/>
        <v>1.04854603181867</v>
      </c>
      <c r="D59" s="31">
        <f t="shared" si="1"/>
        <v>31</v>
      </c>
      <c r="E59" s="31">
        <f>IF(D59=" "," ",($E$26-$B$3*($F$8))*((D59/($F$8))-($C$18/(PI()))*SIN((PI()*D59)/($F$8)))+$B$3*D59)</f>
        <v>2.99824109318734</v>
      </c>
      <c r="F59" s="31">
        <f t="shared" si="5"/>
        <v>1.04854603181867</v>
      </c>
      <c r="G59" s="31"/>
      <c r="H59" s="31">
        <f t="shared" si="2"/>
        <v>31</v>
      </c>
      <c r="I59" s="31">
        <f>IF(H59=" "," ",($I$26-$D$3*$F$13)*((H59/$F$13)-($C$18/(PI()))*SIN((PI()*H59)/$F$13))+$D$3*H59)</f>
        <v>3.24767022986602</v>
      </c>
      <c r="J59" s="31">
        <f t="shared" si="6"/>
        <v>1.05500681535515</v>
      </c>
      <c r="K59" s="31">
        <f t="shared" si="3"/>
        <v>31</v>
      </c>
      <c r="L59" s="31">
        <f>IF(K59=" "," ",($L$26-$D$3*$F$12)*((K59/$F$12)-($C$18/(PI()))*SIN((PI()*K59)/$F$12))+$D$3*K59)</f>
        <v>3.03729971771684</v>
      </c>
      <c r="M59" s="31">
        <f t="shared" si="7"/>
        <v>1.04857604369386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3.24678719032248</v>
      </c>
      <c r="C60" s="31">
        <f t="shared" si="4"/>
        <v>1.04584289539822</v>
      </c>
      <c r="D60" s="31">
        <f t="shared" si="1"/>
        <v>32</v>
      </c>
      <c r="E60" s="31">
        <f>IF(D60=" "," ",($E$26-$B$3*($F$8))*((D60/($F$8))-($C$18/(PI()))*SIN((PI()*D60)/($F$8)))+$B$3*D60)</f>
        <v>3.24678719032248</v>
      </c>
      <c r="F60" s="31">
        <f t="shared" si="5"/>
        <v>1.04584289539822</v>
      </c>
      <c r="G60" s="31"/>
      <c r="H60" s="31">
        <f t="shared" si="2"/>
        <v>32</v>
      </c>
      <c r="I60" s="31">
        <f>IF(H60=" "," ",($I$26-$D$3*$F$13)*((H60/$F$13)-($C$18/(PI()))*SIN((PI()*H60)/$F$13))+$D$3*H60)</f>
        <v>3.52985100017971</v>
      </c>
      <c r="J60" s="31">
        <f t="shared" si="6"/>
        <v>1.05253331531456</v>
      </c>
      <c r="K60" s="31">
        <f t="shared" si="3"/>
        <v>32</v>
      </c>
      <c r="L60" s="31">
        <f>IF(K60=" "," ",($L$26-$D$3*$F$12)*((K60/$F$12)-($C$18/(PI()))*SIN((PI()*K60)/$F$12))+$D$3*K60)</f>
        <v>3.28930667884692</v>
      </c>
      <c r="M60" s="31">
        <f t="shared" si="7"/>
        <v>1.04586992324845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3.50608412499267</v>
      </c>
      <c r="C61" s="31">
        <f t="shared" si="4"/>
        <v>1.04325490385471</v>
      </c>
      <c r="D61" s="31">
        <f t="shared" si="1"/>
        <v>33</v>
      </c>
      <c r="E61" s="31">
        <f>IF(D61=" "," ",($E$26-$B$3*($F$8))*((D61/($F$8))-($C$18/(PI()))*SIN((PI()*D61)/($F$8)))+$B$3*D61)</f>
        <v>3.50608412499267</v>
      </c>
      <c r="F61" s="31">
        <f t="shared" si="5"/>
        <v>1.04325490385471</v>
      </c>
      <c r="G61" s="31"/>
      <c r="H61" s="31">
        <f t="shared" si="2"/>
        <v>33</v>
      </c>
      <c r="I61" s="31">
        <f>IF(H61=" "," ",($I$26-$D$3*$F$13)*((H61/$F$13)-($C$18/(PI()))*SIN((PI()*H61)/$F$13))+$D$3*H61)</f>
        <v>3.82619148773257</v>
      </c>
      <c r="J61" s="31">
        <f t="shared" si="6"/>
        <v>1.05017959665864</v>
      </c>
      <c r="K61" s="31">
        <f t="shared" si="3"/>
        <v>33</v>
      </c>
      <c r="L61" s="31">
        <f>IF(K61=" "," ",($L$26-$D$3*$F$12)*((K61/$F$12)-($C$18/(PI()))*SIN((PI()*K61)/$F$12))+$D$3*K61)</f>
        <v>3.55222032167866</v>
      </c>
      <c r="M61" s="31">
        <f t="shared" si="7"/>
        <v>1.0432792874163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3.77595303644552</v>
      </c>
      <c r="C62" s="31">
        <f t="shared" si="4"/>
        <v>1.04077169981246</v>
      </c>
      <c r="D62" s="31">
        <f t="shared" si="1"/>
        <v>34</v>
      </c>
      <c r="E62" s="31">
        <f>IF(D62=" "," ",($E$26-$B$3*($F$8))*((D62/($F$8))-($C$18/(PI()))*SIN((PI()*D62)/($F$8)))+$B$3*D62)</f>
        <v>3.77595303644552</v>
      </c>
      <c r="F62" s="31">
        <f t="shared" si="5"/>
        <v>1.04077169981246</v>
      </c>
      <c r="G62" s="31"/>
      <c r="H62" s="31">
        <f t="shared" si="2"/>
        <v>34</v>
      </c>
      <c r="I62" s="31">
        <f>IF(H62=" "," ",($I$26-$D$3*$F$13)*((H62/$F$13)-($C$18/(PI()))*SIN((PI()*H62)/$F$13))+$D$3*H62)</f>
        <v>4.13673718065129</v>
      </c>
      <c r="J62" s="31">
        <f t="shared" si="6"/>
        <v>1.04793541875824</v>
      </c>
      <c r="K62" s="31">
        <f t="shared" si="3"/>
        <v>34</v>
      </c>
      <c r="L62" s="31">
        <f>IF(K62=" "," ",($L$26-$D$3*$F$12)*((K62/$F$12)-($C$18/(PI()))*SIN((PI()*K62)/$F$12))+$D$3*K62)</f>
        <v>3.82585919269378</v>
      </c>
      <c r="M62" s="31">
        <f t="shared" si="7"/>
        <v>1.04079373009277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4.0561805803378</v>
      </c>
      <c r="C63" s="31">
        <f t="shared" si="4"/>
        <v>1.03838394123895</v>
      </c>
      <c r="D63" s="31">
        <f t="shared" si="1"/>
        <v>35</v>
      </c>
      <c r="E63" s="31">
        <f>IF(D63=" "," ",($E$26-$B$3*($F$8))*((D63/($F$8))-($C$18/(PI()))*SIN((PI()*D63)/($F$8)))+$B$3*D63)</f>
        <v>4.0561805803378</v>
      </c>
      <c r="F63" s="31">
        <f t="shared" si="5"/>
        <v>1.03838394123895</v>
      </c>
      <c r="G63" s="31"/>
      <c r="H63" s="31">
        <f t="shared" si="2"/>
        <v>35</v>
      </c>
      <c r="I63" s="31">
        <f>IF(H63=" "," ",($I$26-$D$3*$F$13)*((H63/$F$13)-($C$18/(PI()))*SIN((PI()*H63)/$F$13))+$D$3*H63)</f>
        <v>4.46150325243845</v>
      </c>
      <c r="J63" s="31">
        <f t="shared" si="6"/>
        <v>1.04579158298666</v>
      </c>
      <c r="K63" s="31">
        <f t="shared" si="3"/>
        <v>35</v>
      </c>
      <c r="L63" s="31">
        <f>IF(K63=" "," ",($L$26-$D$3*$F$12)*((K63/$F$12)-($C$18/(PI()))*SIN((PI()*K63)/$F$12))+$D$3*K63)</f>
        <v>4.11000685490893</v>
      </c>
      <c r="M63" s="31">
        <f t="shared" si="7"/>
        <v>1.03840386843086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4.34651962462031</v>
      </c>
      <c r="C64" s="31">
        <f t="shared" si="4"/>
        <v>1.03608317815513</v>
      </c>
      <c r="D64" s="31">
        <f t="shared" si="1"/>
        <v>36</v>
      </c>
      <c r="E64" s="31">
        <f>IF(D64=" "," ",($E$26-$B$3*($F$8))*((D64/($F$8))-($C$18/(PI()))*SIN((PI()*D64)/($F$8)))+$B$3*D64)</f>
        <v>4.34651962462031</v>
      </c>
      <c r="F64" s="31">
        <f t="shared" si="5"/>
        <v>1.03608317815513</v>
      </c>
      <c r="G64" s="31"/>
      <c r="H64" s="31">
        <f t="shared" si="2"/>
        <v>36</v>
      </c>
      <c r="I64" s="31">
        <f>IF(H64=" "," ",($I$26-$D$3*$F$13)*((H64/$F$13)-($C$18/(PI()))*SIN((PI()*H64)/$F$13))+$D$3*H64)</f>
        <v>4.80047452959148</v>
      </c>
      <c r="J64" s="31">
        <f t="shared" si="6"/>
        <v>1.04373980720246</v>
      </c>
      <c r="K64" s="31">
        <f t="shared" si="3"/>
        <v>36</v>
      </c>
      <c r="L64" s="31">
        <f>IF(K64=" "," ",($L$26-$D$3*$F$12)*((K64/$F$12)-($C$18/(PI()))*SIN((PI()*K64)/$F$12))+$D$3*K64)</f>
        <v>4.40441259384816</v>
      </c>
      <c r="M64" s="31">
        <f t="shared" si="7"/>
        <v>1.0361012180924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4.6466900556313</v>
      </c>
      <c r="C65" s="31">
        <f t="shared" si="4"/>
        <v>1.03386174516337</v>
      </c>
      <c r="D65" s="31">
        <f t="shared" si="1"/>
        <v>37</v>
      </c>
      <c r="E65" s="31">
        <f>IF(D65=" "," ",($E$26-$B$3*($F$8))*((D65/($F$8))-($C$18/(PI()))*SIN((PI()*D65)/($F$8)))+$B$3*D65)</f>
        <v>4.6466900556313</v>
      </c>
      <c r="F65" s="31">
        <f t="shared" si="5"/>
        <v>1.03386174516337</v>
      </c>
      <c r="G65" s="31"/>
      <c r="H65" s="31">
        <f t="shared" si="2"/>
        <v>37</v>
      </c>
      <c r="I65" s="31">
        <f>IF(H65=" "," ",($I$26-$D$3*$F$13)*((H65/$F$13)-($C$18/(PI()))*SIN((PI()*H65)/$F$13))+$D$3*H65)</f>
        <v>5.15360552398367</v>
      </c>
      <c r="J65" s="31">
        <f t="shared" si="6"/>
        <v>1.04177261671871</v>
      </c>
      <c r="K65" s="31">
        <f t="shared" si="3"/>
        <v>37</v>
      </c>
      <c r="L65" s="31">
        <f>IF(K65=" "," ",($L$26-$D$3*$F$12)*((K65/$F$12)-($C$18/(PI()))*SIN((PI()*K65)/$F$12))+$D$3*K65)</f>
        <v>4.70879223532139</v>
      </c>
      <c r="M65" s="31">
        <f t="shared" si="7"/>
        <v>1.03387808461184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4.95637969176896</v>
      </c>
      <c r="C66" s="31">
        <f t="shared" si="4"/>
        <v>1.03171266768221</v>
      </c>
      <c r="D66" s="31">
        <f t="shared" si="1"/>
        <v>38</v>
      </c>
      <c r="E66" s="31">
        <f>IF(D66=" "," ",($E$26-$B$3*($F$8))*((D66/($F$8))-($C$18/(PI()))*SIN((PI()*D66)/($F$8)))+$B$3*D66)</f>
        <v>4.95637969176896</v>
      </c>
      <c r="F66" s="31">
        <f t="shared" si="5"/>
        <v>1.03171266768221</v>
      </c>
      <c r="G66" s="31"/>
      <c r="H66" s="31">
        <f t="shared" si="2"/>
        <v>38</v>
      </c>
      <c r="I66" s="31">
        <f>IF(H66=" "," ",($I$26-$D$3*$F$13)*((H66/$F$13)-($C$18/(PI()))*SIN((PI()*H66)/$F$13))+$D$3*H66)</f>
        <v>5.52082052993816</v>
      </c>
      <c r="J66" s="31">
        <f t="shared" si="6"/>
        <v>1.03988324951918</v>
      </c>
      <c r="K66" s="31">
        <f t="shared" si="3"/>
        <v>38</v>
      </c>
      <c r="L66" s="31">
        <f>IF(K66=" "," ",($L$26-$D$3*$F$12)*((K66/$F$12)-($C$18/(PI()))*SIN((PI()*K66)/$F$12))+$D$3*K66)</f>
        <v>5.02282907234157</v>
      </c>
      <c r="M66" s="31">
        <f t="shared" si="7"/>
        <v>1.03172746869736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5.27524530176297</v>
      </c>
      <c r="C67" s="31">
        <f t="shared" si="4"/>
        <v>1.02962958002336</v>
      </c>
      <c r="D67" s="31">
        <f t="shared" si="1"/>
        <v>39</v>
      </c>
      <c r="E67" s="31">
        <f>IF(D67=" "," ",($E$26-$B$3*($F$8))*((D67/($F$8))-($C$18/(PI()))*SIN((PI()*D67)/($F$8)))+$B$3*D67)</f>
        <v>5.27524530176297</v>
      </c>
      <c r="F67" s="31">
        <f t="shared" si="5"/>
        <v>1.02962958002336</v>
      </c>
      <c r="G67" s="31"/>
      <c r="H67" s="31">
        <f t="shared" si="2"/>
        <v>39</v>
      </c>
      <c r="I67" s="31">
        <f>IF(H67=" "," ",($I$26-$D$3*$F$13)*((H67/$F$13)-($C$18/(PI()))*SIN((PI()*H67)/$F$13))+$D$3*H67)</f>
        <v>5.90201378578764</v>
      </c>
      <c r="J67" s="31">
        <f t="shared" si="6"/>
        <v>1.03806557376013</v>
      </c>
      <c r="K67" s="31">
        <f t="shared" si="3"/>
        <v>39</v>
      </c>
      <c r="L67" s="31">
        <f>IF(K67=" "," ",($L$26-$D$3*$F$12)*((K67/$F$12)-($C$18/(PI()))*SIN((PI()*K67)/$F$12))+$D$3*K67)</f>
        <v>5.34617489815705</v>
      </c>
      <c r="M67" s="31">
        <f t="shared" si="7"/>
        <v>1.02964298355454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5.60291372422352</v>
      </c>
      <c r="C68" s="31">
        <f t="shared" si="4"/>
        <v>1.02760665368306</v>
      </c>
      <c r="D68" s="31">
        <f t="shared" si="1"/>
        <v>40</v>
      </c>
      <c r="E68" s="31">
        <f>IF(D68=" "," ",($E$26-$B$3*($F$8))*((D68/($F$8))-($C$18/(PI()))*SIN((PI()*D68)/($F$8)))+$B$3*D68)</f>
        <v>5.60291372422352</v>
      </c>
      <c r="F68" s="31">
        <f t="shared" si="5"/>
        <v>1.02760665368306</v>
      </c>
      <c r="G68" s="31"/>
      <c r="H68" s="31">
        <f t="shared" si="2"/>
        <v>40</v>
      </c>
      <c r="I68" s="31">
        <f>IF(H68=" "," ",($I$26-$D$3*$F$13)*((H68/$F$13)-($C$18/(PI()))*SIN((PI()*H68)/$F$13))+$D$3*H68)</f>
        <v>6.29704969957509</v>
      </c>
      <c r="J68" s="31">
        <f t="shared" si="6"/>
        <v>1.03631401585823</v>
      </c>
      <c r="K68" s="31">
        <f t="shared" si="3"/>
        <v>40</v>
      </c>
      <c r="L68" s="31">
        <f>IF(K68=" "," ",($L$26-$D$3*$F$12)*((K68/$F$12)-($C$18/(PI()))*SIN((PI()*K68)/$F$12))+$D$3*K68)</f>
        <v>5.67845114202965</v>
      </c>
      <c r="M68" s="31">
        <f t="shared" si="7"/>
        <v>1.02761878256688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5.93898308481623</v>
      </c>
      <c r="C69" s="31">
        <f t="shared" si="4"/>
        <v>1.0256385344339</v>
      </c>
      <c r="D69" s="31">
        <f t="shared" si="1"/>
        <v>41</v>
      </c>
      <c r="E69" s="31">
        <f>IF(D69=" "," ",($E$26-$B$3*($F$8))*((D69/($F$8))-($C$18/(PI()))*SIN((PI()*D69)/($F$8)))+$B$3*D69)</f>
        <v>5.93898308481623</v>
      </c>
      <c r="F69" s="31">
        <f t="shared" si="5"/>
        <v>1.0256385344339</v>
      </c>
      <c r="G69" s="31"/>
      <c r="H69" s="31">
        <f t="shared" si="2"/>
        <v>41</v>
      </c>
      <c r="I69" s="31">
        <f>IF(H69=" "," ",($I$26-$D$3*$F$13)*((H69/$F$13)-($C$18/(PI()))*SIN((PI()*H69)/$F$13))+$D$3*H69)</f>
        <v>6.70576313841383</v>
      </c>
      <c r="J69" s="31">
        <f t="shared" si="6"/>
        <v>1.0346234976971</v>
      </c>
      <c r="K69" s="31">
        <f t="shared" si="3"/>
        <v>41</v>
      </c>
      <c r="L69" s="31">
        <f>IF(K69=" "," ",($L$26-$D$3*$F$12)*((K69/$F$12)-($C$18/(PI()))*SIN((PI()*K69)/$F$12))+$D$3*K69)</f>
        <v>6.01925010405365</v>
      </c>
      <c r="M69" s="31">
        <f t="shared" si="7"/>
        <v>1.02564949588955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6.28302410709268</v>
      </c>
      <c r="C70" s="31">
        <f t="shared" si="4"/>
        <v>1.02372028699577</v>
      </c>
      <c r="D70" s="31">
        <f t="shared" si="1"/>
        <v>42</v>
      </c>
      <c r="E70" s="31">
        <f>IF(D70=" "," ",($E$26-$B$3*($F$8))*((D70/($F$8))-($C$18/(PI()))*SIN((PI()*D70)/($F$8)))+$B$3*D70)</f>
        <v>6.28302410709268</v>
      </c>
      <c r="F70" s="31">
        <f t="shared" si="5"/>
        <v>1.02372028699577</v>
      </c>
      <c r="G70" s="31"/>
      <c r="H70" s="31">
        <f t="shared" si="2"/>
        <v>42</v>
      </c>
      <c r="I70" s="31">
        <f>IF(H70=" "," ",($I$26-$D$3*$F$13)*((H70/$F$13)-($C$18/(PI()))*SIN((PI()*H70)/$F$13))+$D$3*H70)</f>
        <v>7.12795978088946</v>
      </c>
      <c r="J70" s="31">
        <f t="shared" si="6"/>
        <v>1.03298938169296</v>
      </c>
      <c r="K70" s="31">
        <f t="shared" si="3"/>
        <v>42</v>
      </c>
      <c r="L70" s="31">
        <f>IF(K70=" "," ",($L$26-$D$3*$F$12)*((K70/$F$12)-($C$18/(PI()))*SIN((PI()*K70)/$F$12))+$D$3*K70)</f>
        <v>6.36813628498822</v>
      </c>
      <c r="M70" s="31">
        <f t="shared" si="7"/>
        <v>1.02373017471222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6.63458151270097</v>
      </c>
      <c r="C71" s="31">
        <f t="shared" si="4"/>
        <v>1.02184734623244</v>
      </c>
      <c r="D71" s="31">
        <f t="shared" si="1"/>
        <v>43</v>
      </c>
      <c r="E71" s="31">
        <f>IF(D71=" "," ",($E$26-$B$3*($F$8))*((D71/($F$8))-($C$18/(PI()))*SIN((PI()*D71)/($F$8)))+$B$3*D71)</f>
        <v>6.63458151270097</v>
      </c>
      <c r="F71" s="31">
        <f t="shared" si="5"/>
        <v>1.02184734623244</v>
      </c>
      <c r="G71" s="31"/>
      <c r="H71" s="31">
        <f t="shared" si="2"/>
        <v>43</v>
      </c>
      <c r="I71" s="31">
        <f>IF(H71=" "," ",($I$26-$D$3*$F$13)*((H71/$F$13)-($C$18/(PI()))*SIN((PI()*H71)/$F$13))+$D$3*H71)</f>
        <v>7.56341653175152</v>
      </c>
      <c r="J71" s="31">
        <f t="shared" si="6"/>
        <v>1.03140742263764</v>
      </c>
      <c r="K71" s="31">
        <f t="shared" si="3"/>
        <v>43</v>
      </c>
      <c r="L71" s="31">
        <f>IF(K71=" "," ",($L$26-$D$3*$F$12)*((K71/$F$12)-($C$18/(PI()))*SIN((PI()*K71)/$F$12))+$D$3*K71)</f>
        <v>6.72464780676538</v>
      </c>
      <c r="M71" s="31">
        <f t="shared" si="7"/>
        <v>1.02185624211931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6.99317550640906</v>
      </c>
      <c r="C72" s="31">
        <f t="shared" si="4"/>
        <v>1.02001547396684</v>
      </c>
      <c r="D72" s="31">
        <f t="shared" si="1"/>
        <v>44</v>
      </c>
      <c r="E72" s="31">
        <f>IF(D72=" "," ",($E$26-$B$3*($F$8))*((D72/($F$8))-($C$18/(PI()))*SIN((PI()*D72)/($F$8)))+$B$3*D72)</f>
        <v>6.99317550640906</v>
      </c>
      <c r="F72" s="31">
        <f t="shared" si="5"/>
        <v>1.02001547396684</v>
      </c>
      <c r="G72" s="31"/>
      <c r="H72" s="31">
        <f t="shared" si="2"/>
        <v>44</v>
      </c>
      <c r="I72" s="31">
        <f>IF(H72=" "," ",($I$26-$D$3*$F$13)*((H72/$F$13)-($C$18/(PI()))*SIN((PI()*H72)/$F$13))+$D$3*H72)</f>
        <v>8.01188199801</v>
      </c>
      <c r="J72" s="31">
        <f t="shared" si="6"/>
        <v>1.02987372539448</v>
      </c>
      <c r="K72" s="31">
        <f t="shared" si="3"/>
        <v>44</v>
      </c>
      <c r="L72" s="31">
        <f>IF(K72=" "," ",($L$26-$D$3*$F$12)*((K72/$F$12)-($C$18/(PI()))*SIN((PI()*K72)/$F$12))+$D$3*K72)</f>
        <v>7.08829791904026</v>
      </c>
      <c r="M72" s="31">
        <f t="shared" si="7"/>
        <v>1.02002344962692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7.35830334109712</v>
      </c>
      <c r="C73" s="31">
        <f t="shared" si="4"/>
        <v>1.01822072063282</v>
      </c>
      <c r="D73" s="31">
        <f t="shared" si="1"/>
        <v>45</v>
      </c>
      <c r="E73" s="31">
        <f>IF(D73=" "," ",($E$26-$B$3*($F$8))*((D73/($F$8))-($C$18/(PI()))*SIN((PI()*D73)/($F$8)))+$B$3*D73)</f>
        <v>7.35830334109712</v>
      </c>
      <c r="F73" s="31">
        <f t="shared" si="5"/>
        <v>1.01822072063282</v>
      </c>
      <c r="G73" s="31"/>
      <c r="H73" s="31">
        <f t="shared" si="2"/>
        <v>45</v>
      </c>
      <c r="I73" s="31">
        <f>IF(H73=" "," ",($I$26-$D$3*$F$13)*((H73/$F$13)-($C$18/(PI()))*SIN((PI()*H73)/$F$13))+$D$3*H73)</f>
        <v>8.47307702542067</v>
      </c>
      <c r="J73" s="31">
        <f t="shared" si="6"/>
        <v>1.02838470765294</v>
      </c>
      <c r="K73" s="31">
        <f t="shared" si="3"/>
        <v>45</v>
      </c>
      <c r="L73" s="31">
        <f>IF(K73=" "," ",($L$26-$D$3*$F$12)*((K73/$F$12)-($C$18/(PI()))*SIN((PI()*K73)/$F$12))+$D$3*K73)</f>
        <v>7.45857658686958</v>
      </c>
      <c r="M73" s="31">
        <f t="shared" si="7"/>
        <v>1.01822783860279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7.72944095761408</v>
      </c>
      <c r="C74" s="31">
        <f t="shared" si="4"/>
        <v>1.01645939108983</v>
      </c>
      <c r="D74" s="31">
        <f t="shared" si="1"/>
        <v>46</v>
      </c>
      <c r="E74" s="31">
        <f>IF(D74=" "," ",($E$26-$B$3*($F$8))*((D74/($F$8))-($C$18/(PI()))*SIN((PI()*D74)/($F$8)))+$B$3*D74)</f>
        <v>7.72944095761408</v>
      </c>
      <c r="F74" s="31">
        <f t="shared" si="5"/>
        <v>1.01645939108983</v>
      </c>
      <c r="G74" s="31"/>
      <c r="H74" s="31">
        <f t="shared" si="2"/>
        <v>46</v>
      </c>
      <c r="I74" s="31">
        <f>IF(H74=" "," ",($I$26-$D$3*$F$13)*((H74/$F$13)-($C$18/(PI()))*SIN((PI()*H74)/$F$13))+$D$3*H74)</f>
        <v>8.94669529421428</v>
      </c>
      <c r="J74" s="31">
        <f t="shared" si="6"/>
        <v>1.02693706706399</v>
      </c>
      <c r="K74" s="31">
        <f t="shared" si="3"/>
        <v>46</v>
      </c>
      <c r="L74" s="31">
        <f>IF(K74=" "," ",($L$26-$D$3*$F$12)*((K74/$F$12)-($C$18/(PI()))*SIN((PI()*K74)/$F$12))+$D$3*K74)</f>
        <v>7.83495215433957</v>
      </c>
      <c r="M74" s="31">
        <f t="shared" si="7"/>
        <v>1.01646570588691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8.10604469414974</v>
      </c>
      <c r="C75" s="31">
        <f t="shared" si="4"/>
        <v>1.01472801401805</v>
      </c>
      <c r="D75" s="31">
        <f t="shared" si="1"/>
        <v>47</v>
      </c>
      <c r="E75" s="31">
        <f>IF(D75=" "," ",($E$26-$B$3*($F$8))*((D75/($F$8))-($C$18/(PI()))*SIN((PI()*D75)/($F$8)))+$B$3*D75)</f>
        <v>8.10604469414974</v>
      </c>
      <c r="F75" s="31">
        <f t="shared" si="5"/>
        <v>1.01472801401805</v>
      </c>
      <c r="G75" s="31"/>
      <c r="H75" s="31">
        <f t="shared" si="2"/>
        <v>47</v>
      </c>
      <c r="I75" s="31">
        <f>IF(H75=" "," ",($I$26-$D$3*$F$13)*((H75/$F$13)-($C$18/(PI()))*SIN((PI()*H75)/$F$13))+$D$3*H75)</f>
        <v>9.4324039727984</v>
      </c>
      <c r="J75" s="31">
        <f t="shared" si="6"/>
        <v>1.02552775217331</v>
      </c>
      <c r="K75" s="31">
        <f t="shared" si="3"/>
        <v>47</v>
      </c>
      <c r="L75" s="31">
        <f>IF(K75=" "," ",($L$26-$D$3*$F$12)*((K75/$F$12)-($C$18/(PI()))*SIN((PI()*K75)/$F$12))+$D$3*K75)</f>
        <v>8.2168730787171</v>
      </c>
      <c r="M75" s="31">
        <f t="shared" si="7"/>
        <v>1.01473357302342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8.4875530595465</v>
      </c>
      <c r="C76" s="31">
        <f t="shared" si="4"/>
        <v>1.01302331438935</v>
      </c>
      <c r="D76" s="31">
        <f t="shared" si="1"/>
        <v>48</v>
      </c>
      <c r="E76" s="31">
        <f>IF(D76=" "," ",($E$26-$B$3*($F$8))*((D76/($F$8))-($C$18/(PI()))*SIN((PI()*D76)/($F$8)))+$B$3*D76)</f>
        <v>8.4875530595465</v>
      </c>
      <c r="F76" s="31">
        <f t="shared" si="5"/>
        <v>1.01302331438935</v>
      </c>
      <c r="G76" s="31"/>
      <c r="H76" s="31">
        <f t="shared" si="2"/>
        <v>48</v>
      </c>
      <c r="I76" s="31">
        <f>IF(H76=" "," ",($I$26-$D$3*$F$13)*((H76/$F$13)-($C$18/(PI()))*SIN((PI()*H76)/$F$13))+$D$3*H76)</f>
        <v>9.92984442803682</v>
      </c>
      <c r="J76" s="31">
        <f t="shared" si="6"/>
        <v>1.02415393665292</v>
      </c>
      <c r="K76" s="31">
        <f t="shared" si="3"/>
        <v>48</v>
      </c>
      <c r="L76" s="31">
        <f>IF(K76=" "," ",($L$26-$D$3*$F$12)*((K76/$F$12)-($C$18/(PI()))*SIN((PI()*K76)/$F$12))+$D$3*K76)</f>
        <v>8.60376972946744</v>
      </c>
      <c r="M76" s="31">
        <f t="shared" si="7"/>
        <v>1.01302815859307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8.87338856476688</v>
      </c>
      <c r="C77" s="31">
        <f t="shared" si="4"/>
        <v>1.01134218857591</v>
      </c>
      <c r="D77" s="31">
        <f t="shared" si="1"/>
        <v>49</v>
      </c>
      <c r="E77" s="31">
        <f>IF(D77=" "," ",($E$26-$B$3*($F$8))*((D77/($F$8))-($C$18/(PI()))*SIN((PI()*D77)/($F$8)))+$B$3*D77)</f>
        <v>8.87338856476688</v>
      </c>
      <c r="F77" s="31">
        <f t="shared" si="5"/>
        <v>1.01134218857591</v>
      </c>
      <c r="G77" s="31"/>
      <c r="H77" s="31">
        <f t="shared" si="2"/>
        <v>49</v>
      </c>
      <c r="I77" s="31">
        <f>IF(H77=" "," ",($I$26-$D$3*$F$13)*((H77/$F$13)-($C$18/(PI()))*SIN((PI()*H77)/$F$13))+$D$3*H77)</f>
        <v>10.4386329905907</v>
      </c>
      <c r="J77" s="31">
        <f t="shared" si="6"/>
        <v>1.0228129964018</v>
      </c>
      <c r="K77" s="31">
        <f t="shared" si="3"/>
        <v>49</v>
      </c>
      <c r="L77" s="31">
        <f>IF(K77=" "," ",($L$26-$D$3*$F$12)*((K77/$F$12)-($C$18/(PI()))*SIN((PI()*K77)/$F$12))+$D$3*K77)</f>
        <v>8.99505624627064</v>
      </c>
      <c r="M77" s="31">
        <f t="shared" si="7"/>
        <v>1.01134635320398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9.26295960654269</v>
      </c>
      <c r="C78" s="31">
        <f t="shared" si="4"/>
        <v>1.00968168171381</v>
      </c>
      <c r="D78" s="31">
        <f t="shared" si="1"/>
        <v>50</v>
      </c>
      <c r="E78" s="31">
        <f>IF(D78=" "," ",($E$26-$B$3*($F$8))*((D78/($F$8))-($C$18/(PI()))*SIN((PI()*D78)/($F$8)))+$B$3*D78)</f>
        <v>9.26295960654269</v>
      </c>
      <c r="F78" s="31">
        <f t="shared" si="5"/>
        <v>1.00968168171381</v>
      </c>
      <c r="G78" s="31"/>
      <c r="H78" s="31">
        <f t="shared" si="2"/>
        <v>50</v>
      </c>
      <c r="I78" s="31">
        <f>IF(H78=" "," ",($I$26-$D$3*$F$13)*((H78/$F$13)-($C$18/(PI()))*SIN((PI()*H78)/$F$13))+$D$3*H78)</f>
        <v>10.9583617736883</v>
      </c>
      <c r="J78" s="31">
        <f t="shared" si="6"/>
        <v>1.02150248914564</v>
      </c>
      <c r="K78" s="31">
        <f t="shared" si="3"/>
        <v>50</v>
      </c>
      <c r="L78" s="31">
        <f>IF(K78=" "," ",($L$26-$D$3*$F$12)*((K78/$F$12)-($C$18/(PI()))*SIN((PI()*K78)/$F$12))+$D$3*K78)</f>
        <v>9.3901324499761</v>
      </c>
      <c r="M78" s="31">
        <f t="shared" si="7"/>
        <v>1.0096851967536</v>
      </c>
    </row>
    <row r="79" spans="1:13">
      <c r="A79" s="31">
        <f t="shared" si="0"/>
        <v>51</v>
      </c>
      <c r="B79" s="31">
        <f>IF(A79=" "," ",($B$26-$B$3*($F$9))*((A79/($F$9))-($C$18/(PI()))*SIN((PI()*A79)/($F$9)))+$B$3*A79)</f>
        <v>9.65566239706194</v>
      </c>
      <c r="C79" s="31">
        <f t="shared" si="4"/>
        <v>1.00803896698575</v>
      </c>
      <c r="D79" s="31">
        <f t="shared" si="1"/>
        <v>51</v>
      </c>
      <c r="E79" s="31">
        <f>IF(D79=" "," ",($E$26-$B$3*($F$8))*((D79/($F$8))-($C$18/(PI()))*SIN((PI()*D79)/($F$8)))+$B$3*D79)</f>
        <v>9.65566239706194</v>
      </c>
      <c r="F79" s="31">
        <f t="shared" si="5"/>
        <v>1.00803896698575</v>
      </c>
      <c r="G79" s="31"/>
      <c r="H79" s="31">
        <f t="shared" si="2"/>
        <v>51</v>
      </c>
      <c r="I79" s="31">
        <f>IF(H79=" "," ",($I$26-$D$3*$F$13)*((H79/$F$13)-($C$18/(PI()))*SIN((PI()*H79)/$F$13))+$D$3*H79)</f>
        <v>11.488599543576</v>
      </c>
      <c r="J79" s="31">
        <f t="shared" si="6"/>
        <v>1.02022013621681</v>
      </c>
      <c r="K79" s="31">
        <f t="shared" si="3"/>
        <v>51</v>
      </c>
      <c r="L79" s="31">
        <f>IF(K79=" "," ",($L$26-$D$3*$F$12)*((K79/$F$12)-($C$18/(PI()))*SIN((PI()*K79)/$F$12))+$D$3*K79)</f>
        <v>9.78838580026227</v>
      </c>
      <c r="M79" s="31">
        <f t="shared" si="7"/>
        <v>1.00804185762371</v>
      </c>
    </row>
    <row r="80" spans="1:13">
      <c r="A80" s="31">
        <f t="shared" si="0"/>
        <v>52</v>
      </c>
      <c r="B80" s="31">
        <f>IF(A80=" "," ",($B$26-$B$3*($F$9))*((A80/($F$9))-($C$18/(PI()))*SIN((PI()*A80)/($F$9)))+$B$3*A80)</f>
        <v>10.0508829333992</v>
      </c>
      <c r="C80" s="31">
        <f t="shared" si="4"/>
        <v>1.00641132652676</v>
      </c>
      <c r="D80" s="31">
        <f t="shared" si="1"/>
        <v>52</v>
      </c>
      <c r="E80" s="31">
        <f>IF(D80=" "," ",($E$26-$B$3*($F$8))*((D80/($F$8))-($C$18/(PI()))*SIN((PI()*D80)/($F$8)))+$B$3*D80)</f>
        <v>10.0508829333992</v>
      </c>
      <c r="F80" s="31">
        <f t="shared" si="5"/>
        <v>1.00641132652676</v>
      </c>
      <c r="G80" s="31"/>
      <c r="H80" s="31">
        <f t="shared" si="2"/>
        <v>52</v>
      </c>
      <c r="I80" s="31">
        <f>IF(H80=" "," ",($I$26-$D$3*$F$13)*((H80/$F$13)-($C$18/(PI()))*SIN((PI()*H80)/$F$13))+$D$3*H80)</f>
        <v>12.0288926397925</v>
      </c>
      <c r="J80" s="31">
        <f t="shared" si="6"/>
        <v>1.01896380623931</v>
      </c>
      <c r="K80" s="31">
        <f t="shared" si="3"/>
        <v>52</v>
      </c>
      <c r="L80" s="31">
        <f>IF(K80=" "," ",($L$26-$D$3*$F$12)*((K80/$F$12)-($C$18/(PI()))*SIN((PI()*K80)/$F$12))+$D$3*K80)</f>
        <v>10.1891933936158</v>
      </c>
      <c r="M80" s="31">
        <f t="shared" si="7"/>
        <v>1.00641361350897</v>
      </c>
    </row>
    <row r="81" spans="1:13">
      <c r="A81" s="31">
        <f t="shared" si="0"/>
        <v>53</v>
      </c>
      <c r="B81" s="31">
        <f>IF(A81=" "," ",($B$26-$B$3*($F$9))*((A81/($F$9))-($C$18/(PI()))*SIN((PI()*A81)/($F$9)))+$B$3*A81)</f>
        <v>10.4479990002654</v>
      </c>
      <c r="C81" s="31">
        <f t="shared" si="4"/>
        <v>1.00479613368922</v>
      </c>
      <c r="D81" s="31">
        <f t="shared" si="1"/>
        <v>53</v>
      </c>
      <c r="E81" s="31">
        <f>IF(D81=" "," ",($E$26-$B$3*($F$8))*((D81/($F$8))-($C$18/(PI()))*SIN((PI()*D81)/($F$8)))+$B$3*D81)</f>
        <v>10.4479990002654</v>
      </c>
      <c r="F81" s="31">
        <f t="shared" si="5"/>
        <v>1.00479613368922</v>
      </c>
      <c r="G81" s="31"/>
      <c r="H81" s="31">
        <f t="shared" si="2"/>
        <v>53</v>
      </c>
      <c r="I81" s="31">
        <f>IF(H81=" "," ",($I$26-$D$3*$F$13)*((H81/$F$13)-($C$18/(PI()))*SIN((PI()*H81)/$F$13))+$D$3*H81)</f>
        <v>12.5787659433038</v>
      </c>
      <c r="J81" s="31">
        <f t="shared" si="6"/>
        <v>1.01773150047957</v>
      </c>
      <c r="K81" s="31">
        <f t="shared" si="3"/>
        <v>53</v>
      </c>
      <c r="L81" s="31">
        <f>IF(K81=" "," ",($L$26-$D$3*$F$12)*((K81/$F$12)-($C$18/(PI()))*SIN((PI()*K81)/$F$12))+$D$3*K81)</f>
        <v>10.5919239951135</v>
      </c>
      <c r="M81" s="31">
        <f t="shared" si="7"/>
        <v>1.00479783361384</v>
      </c>
    </row>
    <row r="82" spans="1:13">
      <c r="A82" s="31">
        <f t="shared" si="0"/>
        <v>54</v>
      </c>
      <c r="B82" s="31">
        <f>IF(A82=" "," ",($B$26-$B$3*($F$9))*((A82/($F$9))-($C$18/(PI()))*SIN((PI()*A82)/($F$9)))+$B$3*A82)</f>
        <v>10.8463821995451</v>
      </c>
      <c r="C82" s="31">
        <f t="shared" si="4"/>
        <v>1.00319083643079</v>
      </c>
      <c r="D82" s="31">
        <f t="shared" si="1"/>
        <v>54</v>
      </c>
      <c r="E82" s="31">
        <f>IF(D82=" "," ",($E$26-$B$3*($F$8))*((D82/($F$8))-($C$18/(PI()))*SIN((PI()*D82)/($F$8)))+$B$3*D82)</f>
        <v>10.8463821995451</v>
      </c>
      <c r="F82" s="31">
        <f t="shared" si="5"/>
        <v>1.00319083643079</v>
      </c>
      <c r="G82" s="31"/>
      <c r="H82" s="31">
        <f t="shared" si="2"/>
        <v>54</v>
      </c>
      <c r="I82" s="31">
        <f>IF(H82=" "," ",($I$26-$D$3*$F$13)*((H82/$F$13)-($C$18/(PI()))*SIN((PI()*H82)/$F$13))+$D$3*H82)</f>
        <v>13.1377238904303</v>
      </c>
      <c r="J82" s="31">
        <f t="shared" si="6"/>
        <v>1.01652133965633</v>
      </c>
      <c r="K82" s="31">
        <f t="shared" si="3"/>
        <v>54</v>
      </c>
      <c r="L82" s="31">
        <f>IF(K82=" "," ",($L$26-$D$3*$F$12)*((K82/$F$12)-($C$18/(PI()))*SIN((PI()*K82)/$F$12))+$D$3*K82)</f>
        <v>10.995940097379</v>
      </c>
      <c r="M82" s="31">
        <f t="shared" si="7"/>
        <v>1.00319196197937</v>
      </c>
    </row>
    <row r="83" spans="1:13">
      <c r="A83" s="31">
        <f t="shared" si="0"/>
        <v>55</v>
      </c>
      <c r="B83" s="31">
        <f>IF(A83=" "," ",($B$26-$B$3*($F$9))*((A83/($F$9))-($C$18/(PI()))*SIN((PI()*A83)/($F$9)))+$B$3*A83)</f>
        <v>11.2454</v>
      </c>
      <c r="C83" s="31">
        <f t="shared" si="4"/>
        <v>1.00159294161106</v>
      </c>
      <c r="D83" s="31">
        <f t="shared" si="1"/>
        <v>55</v>
      </c>
      <c r="E83" s="31">
        <f>IF(D83=" "," ",($E$26-$B$3*($F$8))*((D83/($F$8))-($C$18/(PI()))*SIN((PI()*D83)/($F$8)))+$B$3*D83)</f>
        <v>11.2454</v>
      </c>
      <c r="F83" s="31">
        <f t="shared" si="5"/>
        <v>1.00159294161106</v>
      </c>
      <c r="G83" s="31"/>
      <c r="H83" s="31">
        <f t="shared" si="2"/>
        <v>55</v>
      </c>
      <c r="I83" s="31">
        <f>IF(H83=" "," ",($I$26-$D$3*$F$13)*((H83/$F$13)-($C$18/(PI()))*SIN((PI()*H83)/$F$13))+$D$3*H83)</f>
        <v>13.7052515304053</v>
      </c>
      <c r="J83" s="31">
        <f t="shared" si="6"/>
        <v>1.01533155202931</v>
      </c>
      <c r="K83" s="31">
        <f t="shared" si="3"/>
        <v>55</v>
      </c>
      <c r="L83" s="31">
        <f>IF(K83=" "," ",($L$26-$D$3*$F$12)*((K83/$F$12)-($C$18/(PI()))*SIN((PI()*K83)/$F$12))+$D$3*K83)</f>
        <v>11.4006</v>
      </c>
      <c r="M83" s="31">
        <f t="shared" si="7"/>
        <v>1.00159350172387</v>
      </c>
    </row>
    <row r="84" spans="1:13">
      <c r="A84" s="31" t="str">
        <f t="shared" si="0"/>
        <v> </v>
      </c>
      <c r="B84" s="31" t="str">
        <f>IF(A84=" "," ",($B$26-$B$3*($F$9))*((A84/($F$9))-($C$18/(PI()))*SIN((PI()*A84)/($F$9)))+$B$3*A84)</f>
        <v> </v>
      </c>
      <c r="C84" s="31" t="str">
        <f t="shared" si="4"/>
        <v> </v>
      </c>
      <c r="D84" s="31" t="str">
        <f t="shared" si="1"/>
        <v> </v>
      </c>
      <c r="E84" s="31" t="str">
        <f>IF(D84=" "," ",($E$26-$B$3*($F$8))*((D84/($F$8))-($C$18/(PI()))*SIN((PI()*D84)/($F$8)))+$B$3*D84)</f>
        <v> </v>
      </c>
      <c r="F84" s="31" t="str">
        <f t="shared" si="5"/>
        <v> </v>
      </c>
      <c r="G84" s="31"/>
      <c r="H84" s="31">
        <f t="shared" si="2"/>
        <v>56</v>
      </c>
      <c r="I84" s="31">
        <f>IF(H84=" "," ",($I$26-$D$3*$F$13)*((H84/$F$13)-($C$18/(PI()))*SIN((PI()*H84)/$F$13))+$D$3*H84)</f>
        <v>14.2808156243058</v>
      </c>
      <c r="J84" s="31">
        <f t="shared" si="6"/>
        <v>1.01416046260898</v>
      </c>
      <c r="K84" s="31" t="str">
        <f t="shared" si="3"/>
        <v> </v>
      </c>
      <c r="L84" s="31" t="str">
        <f>IF(K84=" "," ",($L$26-$D$3*$F$12)*((K84/$F$12)-($C$18/(PI()))*SIN((PI()*K84)/$F$12))+$D$3*K84)</f>
        <v> </v>
      </c>
      <c r="M84" s="31" t="str">
        <f t="shared" si="7"/>
        <v> </v>
      </c>
    </row>
    <row r="85" spans="1:13">
      <c r="A85" s="31" t="str">
        <f t="shared" si="0"/>
        <v> </v>
      </c>
      <c r="B85" s="31" t="str">
        <f>IF(A85=" "," ",($B$26-$B$3*($F$9))*((A85/($F$9))-($C$18/(PI()))*SIN((PI()*A85)/($F$9)))+$B$3*A85)</f>
        <v> </v>
      </c>
      <c r="C85" s="31" t="str">
        <f t="shared" si="4"/>
        <v> </v>
      </c>
      <c r="D85" s="31" t="str">
        <f t="shared" si="1"/>
        <v> </v>
      </c>
      <c r="E85" s="31" t="str">
        <f>IF(D85=" "," ",($E$26-$B$3*($F$8))*((D85/($F$8))-($C$18/(PI()))*SIN((PI()*D85)/($F$8)))+$B$3*D85)</f>
        <v> </v>
      </c>
      <c r="F85" s="31" t="str">
        <f t="shared" si="5"/>
        <v> </v>
      </c>
      <c r="G85" s="31"/>
      <c r="H85" s="31">
        <f t="shared" si="2"/>
        <v>57</v>
      </c>
      <c r="I85" s="31">
        <f>IF(H85=" "," ",($I$26-$D$3*$F$13)*((H85/$F$13)-($C$18/(PI()))*SIN((PI()*H85)/$F$13))+$D$3*H85)</f>
        <v>14.863865783011</v>
      </c>
      <c r="J85" s="31">
        <f t="shared" si="6"/>
        <v>1.01300648335083</v>
      </c>
      <c r="K85" s="31" t="str">
        <f t="shared" si="3"/>
        <v> </v>
      </c>
      <c r="L85" s="31" t="str">
        <f>IF(K85=" "," ",($L$26-$D$3*$F$12)*((K85/$F$12)-($C$18/(PI()))*SIN((PI()*K85)/$F$12))+$D$3*K85)</f>
        <v> </v>
      </c>
      <c r="M85" s="31" t="str">
        <f t="shared" si="7"/>
        <v> </v>
      </c>
    </row>
    <row r="86" spans="1:13">
      <c r="A86" s="31" t="str">
        <f t="shared" si="0"/>
        <v> </v>
      </c>
      <c r="B86" s="31" t="str">
        <f>IF(A86=" "," ",($B$26-$B$3*($F$9))*((A86/($F$9))-($C$18/(PI()))*SIN((PI()*A86)/($F$9)))+$B$3*A86)</f>
        <v> </v>
      </c>
      <c r="C86" s="31" t="str">
        <f t="shared" si="4"/>
        <v> </v>
      </c>
      <c r="D86" s="31" t="str">
        <f t="shared" si="1"/>
        <v> </v>
      </c>
      <c r="E86" s="31" t="str">
        <f>IF(D86=" "," ",($E$26-$B$3*($F$8))*((D86/($F$8))-($C$18/(PI()))*SIN((PI()*D86)/($F$8)))+$B$3*D86)</f>
        <v> </v>
      </c>
      <c r="F86" s="31" t="str">
        <f t="shared" si="5"/>
        <v> </v>
      </c>
      <c r="G86" s="31"/>
      <c r="H86" s="31">
        <f t="shared" si="2"/>
        <v>58</v>
      </c>
      <c r="I86" s="31">
        <f>IF(H86=" "," ",($I$26-$D$3*$F$13)*((H86/$F$13)-($C$18/(PI()))*SIN((PI()*H86)/$F$13))+$D$3*H86)</f>
        <v>15.4538356417604</v>
      </c>
      <c r="J86" s="31">
        <f t="shared" si="6"/>
        <v>1.01186810421194</v>
      </c>
      <c r="K86" s="31" t="str">
        <f t="shared" si="3"/>
        <v> </v>
      </c>
      <c r="L86" s="31" t="str">
        <f>IF(K86=" "," ",($L$26-$D$3*$F$12)*((K86/$F$12)-($C$18/(PI()))*SIN((PI()*K86)/$F$12))+$D$3*K86)</f>
        <v> </v>
      </c>
      <c r="M86" s="31" t="str">
        <f t="shared" si="7"/>
        <v> </v>
      </c>
    </row>
    <row r="87" spans="1:13">
      <c r="A87" s="31" t="str">
        <f t="shared" si="0"/>
        <v> </v>
      </c>
      <c r="B87" s="31" t="str">
        <f>IF(A87=" "," ",($B$26-$B$3*($F$9))*((A87/($F$9))-($C$18/(PI()))*SIN((PI()*A87)/($F$9)))+$B$3*A87)</f>
        <v> </v>
      </c>
      <c r="C87" s="31" t="str">
        <f t="shared" si="4"/>
        <v> </v>
      </c>
      <c r="D87" s="31" t="str">
        <f t="shared" si="1"/>
        <v> </v>
      </c>
      <c r="E87" s="31" t="str">
        <f>IF(D87=" "," ",($E$26-$B$3*($F$8))*((D87/($F$8))-($C$18/(PI()))*SIN((PI()*D87)/($F$8)))+$B$3*D87)</f>
        <v> </v>
      </c>
      <c r="F87" s="31" t="str">
        <f t="shared" si="5"/>
        <v> </v>
      </c>
      <c r="G87" s="31"/>
      <c r="H87" s="31">
        <f t="shared" si="2"/>
        <v>59</v>
      </c>
      <c r="I87" s="31">
        <f>IF(H87=" "," ",($I$26-$D$3*$F$13)*((H87/$F$13)-($C$18/(PI()))*SIN((PI()*H87)/$F$13))+$D$3*H87)</f>
        <v>16.0501440688052</v>
      </c>
      <c r="J87" s="31">
        <f t="shared" si="6"/>
        <v>1.01074388496519</v>
      </c>
      <c r="K87" s="31" t="str">
        <f t="shared" si="3"/>
        <v> </v>
      </c>
      <c r="L87" s="31" t="str">
        <f>IF(K87=" "," ",($L$26-$D$3*$F$12)*((K87/$F$12)-($C$18/(PI()))*SIN((PI()*K87)/$F$12))+$D$3*K87)</f>
        <v> </v>
      </c>
      <c r="M87" s="31" t="str">
        <f t="shared" si="7"/>
        <v> </v>
      </c>
    </row>
    <row r="88" spans="1:13">
      <c r="A88" s="31" t="str">
        <f t="shared" si="0"/>
        <v> </v>
      </c>
      <c r="B88" s="31" t="str">
        <f>IF(A88=" "," ",($B$26-$B$3*($F$9))*((A88/($F$9))-($C$18/(PI()))*SIN((PI()*A88)/($F$9)))+$B$3*A88)</f>
        <v> </v>
      </c>
      <c r="C88" s="31" t="str">
        <f t="shared" si="4"/>
        <v> </v>
      </c>
      <c r="D88" s="31" t="str">
        <f t="shared" si="1"/>
        <v> </v>
      </c>
      <c r="E88" s="31" t="str">
        <f>IF(D88=" "," ",($E$26-$B$3*($F$8))*((D88/($F$8))-($C$18/(PI()))*SIN((PI()*D88)/($F$8)))+$B$3*D88)</f>
        <v> </v>
      </c>
      <c r="F88" s="31" t="str">
        <f t="shared" si="5"/>
        <v> </v>
      </c>
      <c r="G88" s="31"/>
      <c r="H88" s="31">
        <f t="shared" si="2"/>
        <v>60</v>
      </c>
      <c r="I88" s="31">
        <f>IF(H88=" "," ",($I$26-$D$3*$F$13)*((H88/$F$13)-($C$18/(PI()))*SIN((PI()*H88)/$F$13))+$D$3*H88)</f>
        <v>16.6521964055722</v>
      </c>
      <c r="J88" s="31">
        <f t="shared" si="6"/>
        <v>1.00963244767589</v>
      </c>
      <c r="K88" s="31" t="str">
        <f t="shared" si="3"/>
        <v> </v>
      </c>
      <c r="L88" s="31" t="str">
        <f>IF(K88=" "," ",($L$26-$D$3*$F$12)*((K88/$F$12)-($C$18/(PI()))*SIN((PI()*K88)/$F$12))+$D$3*K88)</f>
        <v> </v>
      </c>
      <c r="M88" s="31" t="str">
        <f t="shared" si="7"/>
        <v> </v>
      </c>
    </row>
    <row r="89" spans="1:13">
      <c r="A89" s="31" t="str">
        <f t="shared" si="0"/>
        <v> </v>
      </c>
      <c r="B89" s="31" t="str">
        <f>IF(A89=" "," ",($B$26-$B$3*($F$9))*((A89/($F$9))-($C$18/(PI()))*SIN((PI()*A89)/($F$9)))+$B$3*A89)</f>
        <v> </v>
      </c>
      <c r="C89" s="31" t="str">
        <f t="shared" si="4"/>
        <v> </v>
      </c>
      <c r="D89" s="31" t="str">
        <f t="shared" si="1"/>
        <v> </v>
      </c>
      <c r="E89" s="31" t="str">
        <f>IF(D89=" "," ",($E$26-$B$3*($F$8))*((D89/($F$8))-($C$18/(PI()))*SIN((PI()*D89)/($F$8)))+$B$3*D89)</f>
        <v> </v>
      </c>
      <c r="F89" s="31" t="str">
        <f t="shared" si="5"/>
        <v> </v>
      </c>
      <c r="G89" s="31"/>
      <c r="H89" s="31">
        <f t="shared" si="2"/>
        <v>61</v>
      </c>
      <c r="I89" s="31">
        <f>IF(H89=" "," ",($I$26-$D$3*$F$13)*((H89/$F$13)-($C$18/(PI()))*SIN((PI()*H89)/$F$13))+$D$3*H89)</f>
        <v>17.2593857356954</v>
      </c>
      <c r="J89" s="31">
        <f t="shared" si="6"/>
        <v>1.00853246975808</v>
      </c>
      <c r="K89" s="31" t="str">
        <f t="shared" si="3"/>
        <v> </v>
      </c>
      <c r="L89" s="31" t="str">
        <f>IF(K89=" "," ",($L$26-$D$3*$F$12)*((K89/$F$12)-($C$18/(PI()))*SIN((PI()*K89)/$F$12))+$D$3*K89)</f>
        <v> </v>
      </c>
      <c r="M89" s="31" t="str">
        <f t="shared" si="7"/>
        <v> </v>
      </c>
    </row>
    <row r="90" spans="1:13">
      <c r="A90" s="31" t="str">
        <f t="shared" si="0"/>
        <v> </v>
      </c>
      <c r="B90" s="31" t="str">
        <f>IF(A90=" "," ",($B$26-$B$3*($F$9))*((A90/($F$9))-($C$18/(PI()))*SIN((PI()*A90)/($F$9)))+$B$3*A90)</f>
        <v> </v>
      </c>
      <c r="C90" s="31" t="str">
        <f t="shared" si="4"/>
        <v> </v>
      </c>
      <c r="D90" s="31" t="str">
        <f t="shared" si="1"/>
        <v> </v>
      </c>
      <c r="E90" s="31" t="str">
        <f>IF(D90=" "," ",($E$26-$B$3*($F$8))*((D90/($F$8))-($C$18/(PI()))*SIN((PI()*D90)/($F$8)))+$B$3*D90)</f>
        <v> </v>
      </c>
      <c r="F90" s="31" t="str">
        <f t="shared" si="5"/>
        <v> </v>
      </c>
      <c r="G90" s="31"/>
      <c r="H90" s="31">
        <f t="shared" si="2"/>
        <v>62</v>
      </c>
      <c r="I90" s="31">
        <f>IF(H90=" "," ",($I$26-$D$3*$F$13)*((H90/$F$13)-($C$18/(PI()))*SIN((PI()*H90)/$F$13))+$D$3*H90)</f>
        <v>17.8710941802062</v>
      </c>
      <c r="J90" s="31">
        <f t="shared" si="6"/>
        <v>1.00744267753631</v>
      </c>
      <c r="K90" s="31" t="str">
        <f t="shared" si="3"/>
        <v> </v>
      </c>
      <c r="L90" s="31" t="str">
        <f>IF(K90=" "," ",($L$26-$D$3*$F$12)*((K90/$F$12)-($C$18/(PI()))*SIN((PI()*K90)/$F$12))+$D$3*K90)</f>
        <v> </v>
      </c>
      <c r="M90" s="31" t="str">
        <f t="shared" si="7"/>
        <v> </v>
      </c>
    </row>
    <row r="91" spans="1:13">
      <c r="A91" s="31" t="str">
        <f t="shared" si="0"/>
        <v> </v>
      </c>
      <c r="B91" s="31" t="str">
        <f>IF(A91=" "," ",($B$26-$B$3*($F$9))*((A91/($F$9))-($C$18/(PI()))*SIN((PI()*A91)/($F$9)))+$B$3*A91)</f>
        <v> </v>
      </c>
      <c r="C91" s="31" t="str">
        <f t="shared" si="4"/>
        <v> </v>
      </c>
      <c r="D91" s="31" t="str">
        <f t="shared" si="1"/>
        <v> </v>
      </c>
      <c r="E91" s="31" t="str">
        <f>IF(D91=" "," ",($E$26-$B$3*($F$8))*((D91/($F$8))-($C$18/(PI()))*SIN((PI()*D91)/($F$8)))+$B$3*D91)</f>
        <v> </v>
      </c>
      <c r="F91" s="31" t="str">
        <f t="shared" si="5"/>
        <v> </v>
      </c>
      <c r="G91" s="31"/>
      <c r="H91" s="31">
        <f t="shared" si="2"/>
        <v>63</v>
      </c>
      <c r="I91" s="31">
        <f>IF(H91=" "," ",($I$26-$D$3*$F$13)*((H91/$F$13)-($C$18/(PI()))*SIN((PI()*H91)/$F$13))+$D$3*H91)</f>
        <v>18.4866942161181</v>
      </c>
      <c r="J91" s="31">
        <f t="shared" si="6"/>
        <v>1.00636184024598</v>
      </c>
      <c r="K91" s="31" t="str">
        <f t="shared" si="3"/>
        <v> </v>
      </c>
      <c r="L91" s="31" t="str">
        <f>IF(K91=" "," ",($L$26-$D$3*$F$12)*((K91/$F$12)-($C$18/(PI()))*SIN((PI()*K91)/$F$12))+$D$3*K91)</f>
        <v> </v>
      </c>
      <c r="M91" s="31" t="str">
        <f t="shared" si="7"/>
        <v> </v>
      </c>
    </row>
    <row r="92" spans="1:13">
      <c r="A92" s="31" t="str">
        <f t="shared" si="0"/>
        <v> </v>
      </c>
      <c r="B92" s="31" t="str">
        <f>IF(A92=" "," ",($B$26-$B$3*($F$9))*((A92/($F$9))-($C$18/(PI()))*SIN((PI()*A92)/($F$9)))+$B$3*A92)</f>
        <v> </v>
      </c>
      <c r="C92" s="31" t="str">
        <f t="shared" si="4"/>
        <v> </v>
      </c>
      <c r="D92" s="31" t="str">
        <f t="shared" si="1"/>
        <v> </v>
      </c>
      <c r="E92" s="31" t="str">
        <f>IF(D92=" "," ",($E$26-$B$3*($F$8))*((D92/($F$8))-($C$18/(PI()))*SIN((PI()*D92)/($F$8)))+$B$3*D92)</f>
        <v> </v>
      </c>
      <c r="F92" s="31" t="str">
        <f t="shared" si="5"/>
        <v> </v>
      </c>
      <c r="G92" s="31"/>
      <c r="H92" s="31">
        <f t="shared" si="2"/>
        <v>64</v>
      </c>
      <c r="I92" s="31">
        <f>IF(H92=" "," ",($I$26-$D$3*$F$13)*((H92/$F$13)-($C$18/(PI()))*SIN((PI()*H92)/$F$13))+$D$3*H92)</f>
        <v>19.1055500155925</v>
      </c>
      <c r="J92" s="31">
        <f t="shared" si="6"/>
        <v>1.00528876441276</v>
      </c>
      <c r="K92" s="31" t="str">
        <f t="shared" si="3"/>
        <v> </v>
      </c>
      <c r="L92" s="31" t="str">
        <f>IF(K92=" "," ",($L$26-$D$3*$F$12)*((K92/$F$12)-($C$18/(PI()))*SIN((PI()*K92)/$F$12))+$D$3*K92)</f>
        <v> </v>
      </c>
      <c r="M92" s="31" t="str">
        <f t="shared" si="7"/>
        <v> </v>
      </c>
    </row>
    <row r="93" spans="1:13">
      <c r="A93" s="31" t="str">
        <f t="shared" ref="A93:A156" si="8">IF(($F$9)-ROW(A65)&gt;=0,($F$9)-(($F$9)-ROW(A65))," ")</f>
        <v> </v>
      </c>
      <c r="B93" s="31" t="str">
        <f>IF(A93=" "," ",($B$26-$B$3*($F$9))*((A93/($F$9))-($C$18/(PI()))*SIN((PI()*A93)/($F$9)))+$B$3*A93)</f>
        <v> </v>
      </c>
      <c r="C93" s="31" t="str">
        <f t="shared" si="4"/>
        <v> </v>
      </c>
      <c r="D93" s="31" t="str">
        <f t="shared" ref="D93:D156" si="9">IF(($F$8)-ROW(D65)&gt;=0,($F$8)-(($F$8)-ROW(D65))," ")</f>
        <v> </v>
      </c>
      <c r="E93" s="31" t="str">
        <f>IF(D93=" "," ",($E$26-$B$3*($F$8))*((D93/($F$8))-($C$18/(PI()))*SIN((PI()*D93)/($F$8)))+$B$3*D93)</f>
        <v> </v>
      </c>
      <c r="F93" s="31" t="str">
        <f t="shared" si="5"/>
        <v> </v>
      </c>
      <c r="G93" s="31"/>
      <c r="H93" s="31">
        <f t="shared" ref="H93:H156" si="10">IF($F$13-ROW(H65)&gt;=0,$F$13-($F$13-ROW(H65))," ")</f>
        <v>65</v>
      </c>
      <c r="I93" s="31">
        <f>IF(H93=" "," ",($I$26-$D$3*$F$13)*((H93/$F$13)-($C$18/(PI()))*SIN((PI()*H93)/$F$13))+$D$3*H93)</f>
        <v>19.7270188028271</v>
      </c>
      <c r="J93" s="31">
        <f t="shared" si="6"/>
        <v>1.00422228855651</v>
      </c>
      <c r="K93" s="31" t="str">
        <f t="shared" ref="K93:K156" si="11">IF($F$12-ROW(K65)&gt;=0,$F$12-($F$12-ROW(K65))," ")</f>
        <v> </v>
      </c>
      <c r="L93" s="31" t="str">
        <f>IF(K93=" "," ",($L$26-$D$3*$F$12)*((K93/$F$12)-($C$18/(PI()))*SIN((PI()*K93)/$F$12))+$D$3*K93)</f>
        <v> </v>
      </c>
      <c r="M93" s="31" t="str">
        <f t="shared" si="7"/>
        <v> </v>
      </c>
    </row>
    <row r="94" spans="1:13">
      <c r="A94" s="31" t="str">
        <f t="shared" si="8"/>
        <v> </v>
      </c>
      <c r="B94" s="31" t="str">
        <f>IF(A94=" "," ",($B$26-$B$3*($F$9))*((A94/($F$9))-($C$18/(PI()))*SIN((PI()*A94)/($F$9)))+$B$3*A94)</f>
        <v> </v>
      </c>
      <c r="C94" s="31" t="str">
        <f t="shared" ref="C94:C157" si="12">IF(A94=" "," ",(B94-B93)/(B93-B92))</f>
        <v> </v>
      </c>
      <c r="D94" s="31" t="str">
        <f t="shared" si="9"/>
        <v> </v>
      </c>
      <c r="E94" s="31" t="str">
        <f>IF(D94=" "," ",($E$26-$B$3*($F$8))*((D94/($F$8))-($C$18/(PI()))*SIN((PI()*D94)/($F$8)))+$B$3*D94)</f>
        <v> </v>
      </c>
      <c r="F94" s="31" t="str">
        <f t="shared" ref="F94:F157" si="13">IF(D94=" "," ",(E94-E93)/(E93-E92))</f>
        <v> </v>
      </c>
      <c r="G94" s="31"/>
      <c r="H94" s="31">
        <f t="shared" si="10"/>
        <v>66</v>
      </c>
      <c r="I94" s="31">
        <f>IF(H94=" "," ",($I$26-$D$3*$F$13)*((H94/$F$13)-($C$18/(PI()))*SIN((PI()*H94)/$F$13))+$D$3*H94)</f>
        <v>20.3504522257722</v>
      </c>
      <c r="J94" s="31">
        <f t="shared" ref="J94:J157" si="14">IF(H94=" "," ",(I94-I93)/(I93-I92))</f>
        <v>1.00316127817012</v>
      </c>
      <c r="K94" s="31" t="str">
        <f t="shared" si="11"/>
        <v> </v>
      </c>
      <c r="L94" s="31" t="str">
        <f>IF(K94=" "," ",($L$26-$D$3*$F$12)*((K94/$F$12)-($C$18/(PI()))*SIN((PI()*K94)/$F$12))+$D$3*K94)</f>
        <v> </v>
      </c>
      <c r="M94" s="31" t="str">
        <f t="shared" ref="M94:M157" si="15">IF(K94=" "," ",(L94-L93)/(L93-L92))</f>
        <v> </v>
      </c>
    </row>
    <row r="95" spans="1:13">
      <c r="A95" s="31" t="str">
        <f t="shared" si="8"/>
        <v> </v>
      </c>
      <c r="B95" s="31" t="str">
        <f>IF(A95=" "," ",($B$26-$B$3*($F$9))*((A95/($F$9))-($C$18/(PI()))*SIN((PI()*A95)/($F$9)))+$B$3*A95)</f>
        <v> </v>
      </c>
      <c r="C95" s="31" t="str">
        <f t="shared" si="12"/>
        <v> </v>
      </c>
      <c r="D95" s="31" t="str">
        <f t="shared" si="9"/>
        <v> </v>
      </c>
      <c r="E95" s="31" t="str">
        <f>IF(D95=" "," ",($E$26-$B$3*($F$8))*((D95/($F$8))-($C$18/(PI()))*SIN((PI()*D95)/($F$8)))+$B$3*D95)</f>
        <v> </v>
      </c>
      <c r="F95" s="31" t="str">
        <f t="shared" si="13"/>
        <v> </v>
      </c>
      <c r="G95" s="31"/>
      <c r="H95" s="31">
        <f t="shared" si="10"/>
        <v>67</v>
      </c>
      <c r="I95" s="31">
        <f>IF(H95=" "," ",($I$26-$D$3*$F$13)*((H95/$F$13)-($C$18/(PI()))*SIN((PI()*H95)/$F$13))+$D$3*H95)</f>
        <v>20.9751977397464</v>
      </c>
      <c r="J95" s="31">
        <f t="shared" si="14"/>
        <v>1.00210462092799</v>
      </c>
      <c r="K95" s="31" t="str">
        <f t="shared" si="11"/>
        <v> </v>
      </c>
      <c r="L95" s="31" t="str">
        <f>IF(K95=" "," ",($L$26-$D$3*$F$12)*((K95/$F$12)-($C$18/(PI()))*SIN((PI()*K95)/$F$12))+$D$3*K95)</f>
        <v> </v>
      </c>
      <c r="M95" s="31" t="str">
        <f t="shared" si="15"/>
        <v> </v>
      </c>
    </row>
    <row r="96" spans="1:13">
      <c r="A96" s="31" t="str">
        <f t="shared" si="8"/>
        <v> </v>
      </c>
      <c r="B96" s="31" t="str">
        <f>IF(A96=" "," ",($B$26-$B$3*($F$9))*((A96/($F$9))-($C$18/(PI()))*SIN((PI()*A96)/($F$9)))+$B$3*A96)</f>
        <v> </v>
      </c>
      <c r="C96" s="31" t="str">
        <f t="shared" si="12"/>
        <v> </v>
      </c>
      <c r="D96" s="31" t="str">
        <f t="shared" si="9"/>
        <v> </v>
      </c>
      <c r="E96" s="31" t="str">
        <f>IF(D96=" "," ",($E$26-$B$3*($F$8))*((D96/($F$8))-($C$18/(PI()))*SIN((PI()*D96)/($F$8)))+$B$3*D96)</f>
        <v> </v>
      </c>
      <c r="F96" s="31" t="str">
        <f t="shared" si="13"/>
        <v> </v>
      </c>
      <c r="G96" s="31"/>
      <c r="H96" s="31">
        <f t="shared" si="10"/>
        <v>68</v>
      </c>
      <c r="I96" s="31">
        <f>IF(H96=" "," ",($I$26-$D$3*$F$13)*((H96/$F$13)-($C$18/(PI()))*SIN((PI()*H96)/$F$13))+$D$3*H96)</f>
        <v>21.6006</v>
      </c>
      <c r="J96" s="31">
        <f t="shared" si="14"/>
        <v>1.00105122208115</v>
      </c>
      <c r="K96" s="31" t="str">
        <f t="shared" si="11"/>
        <v> </v>
      </c>
      <c r="L96" s="31" t="str">
        <f>IF(K96=" "," ",($L$26-$D$3*$F$12)*((K96/$F$12)-($C$18/(PI()))*SIN((PI()*K96)/$F$12))+$D$3*K96)</f>
        <v> </v>
      </c>
      <c r="M96" s="31" t="str">
        <f t="shared" si="15"/>
        <v> </v>
      </c>
    </row>
    <row r="97" spans="1:13">
      <c r="A97" s="31" t="str">
        <f t="shared" si="8"/>
        <v> </v>
      </c>
      <c r="B97" s="31" t="str">
        <f>IF(A97=" "," ",($B$26-$B$3*($F$9))*((A97/($F$9))-($C$18/(PI()))*SIN((PI()*A97)/($F$9)))+$B$3*A97)</f>
        <v> </v>
      </c>
      <c r="C97" s="31" t="str">
        <f t="shared" si="12"/>
        <v> </v>
      </c>
      <c r="D97" s="31" t="str">
        <f t="shared" si="9"/>
        <v> </v>
      </c>
      <c r="E97" s="31" t="str">
        <f>IF(D97=" "," ",($E$26-$B$3*($F$8))*((D97/($F$8))-($C$18/(PI()))*SIN((PI()*D97)/($F$8)))+$B$3*D97)</f>
        <v> </v>
      </c>
      <c r="F97" s="31" t="str">
        <f t="shared" si="13"/>
        <v> </v>
      </c>
      <c r="G97" s="31"/>
      <c r="H97" s="31" t="str">
        <f t="shared" si="10"/>
        <v> </v>
      </c>
      <c r="I97" s="31" t="str">
        <f>IF(H97=" "," ",($I$26-$D$3*$F$13)*((H97/$F$13)-($C$18/(PI()))*SIN((PI()*H97)/$F$13))+$D$3*H97)</f>
        <v> </v>
      </c>
      <c r="J97" s="31" t="str">
        <f t="shared" si="14"/>
        <v> </v>
      </c>
      <c r="K97" s="31" t="str">
        <f t="shared" si="11"/>
        <v> </v>
      </c>
      <c r="L97" s="31" t="str">
        <f>IF(K97=" "," ",($L$26-$D$3*$F$12)*((K97/$F$12)-($C$18/(PI()))*SIN((PI()*K97)/$F$12))+$D$3*K97)</f>
        <v> </v>
      </c>
      <c r="M97" s="31" t="str">
        <f t="shared" si="15"/>
        <v> </v>
      </c>
    </row>
    <row r="98" spans="1:13">
      <c r="A98" s="31" t="str">
        <f t="shared" si="8"/>
        <v> </v>
      </c>
      <c r="B98" s="31" t="str">
        <f>IF(A98=" "," ",($B$26-$B$3*($F$9))*((A98/($F$9))-($C$18/(PI()))*SIN((PI()*A98)/($F$9)))+$B$3*A98)</f>
        <v> </v>
      </c>
      <c r="C98" s="31" t="str">
        <f t="shared" si="12"/>
        <v> </v>
      </c>
      <c r="D98" s="31" t="str">
        <f t="shared" si="9"/>
        <v> </v>
      </c>
      <c r="E98" s="31" t="str">
        <f>IF(D98=" "," ",($E$26-$B$3*($F$8))*((D98/($F$8))-($C$18/(PI()))*SIN((PI()*D98)/($F$8)))+$B$3*D98)</f>
        <v> </v>
      </c>
      <c r="F98" s="31" t="str">
        <f t="shared" si="13"/>
        <v> </v>
      </c>
      <c r="G98" s="31"/>
      <c r="H98" s="31" t="str">
        <f t="shared" si="10"/>
        <v> </v>
      </c>
      <c r="I98" s="31" t="str">
        <f>IF(H98=" "," ",($I$26-$D$3*$F$13)*((H98/$F$13)-($C$18/(PI()))*SIN((PI()*H98)/$F$13))+$D$3*H98)</f>
        <v> </v>
      </c>
      <c r="J98" s="31" t="str">
        <f t="shared" si="14"/>
        <v> </v>
      </c>
      <c r="K98" s="31" t="str">
        <f t="shared" si="11"/>
        <v> </v>
      </c>
      <c r="L98" s="31" t="str">
        <f>IF(K98=" "," ",($L$26-$D$3*$F$12)*((K98/$F$12)-($C$18/(PI()))*SIN((PI()*K98)/$F$12))+$D$3*K98)</f>
        <v> </v>
      </c>
      <c r="M98" s="31" t="str">
        <f t="shared" si="15"/>
        <v> </v>
      </c>
    </row>
    <row r="99" spans="1:13">
      <c r="A99" s="31" t="str">
        <f t="shared" si="8"/>
        <v> </v>
      </c>
      <c r="B99" s="31" t="str">
        <f>IF(A99=" "," ",($B$26-$B$3*($F$9))*((A99/($F$9))-($C$18/(PI()))*SIN((PI()*A99)/($F$9)))+$B$3*A99)</f>
        <v> </v>
      </c>
      <c r="C99" s="31" t="str">
        <f t="shared" si="12"/>
        <v> </v>
      </c>
      <c r="D99" s="31" t="str">
        <f t="shared" si="9"/>
        <v> </v>
      </c>
      <c r="E99" s="31" t="str">
        <f>IF(D99=" "," ",($E$26-$B$3*($F$8))*((D99/($F$8))-($C$18/(PI()))*SIN((PI()*D99)/($F$8)))+$B$3*D99)</f>
        <v> </v>
      </c>
      <c r="F99" s="31" t="str">
        <f t="shared" si="13"/>
        <v> </v>
      </c>
      <c r="G99" s="31"/>
      <c r="H99" s="31" t="str">
        <f t="shared" si="10"/>
        <v> </v>
      </c>
      <c r="I99" s="31" t="str">
        <f>IF(H99=" "," ",($I$26-$D$3*$F$13)*((H99/$F$13)-($C$18/(PI()))*SIN((PI()*H99)/$F$13))+$D$3*H99)</f>
        <v> </v>
      </c>
      <c r="J99" s="31" t="str">
        <f t="shared" si="14"/>
        <v> </v>
      </c>
      <c r="K99" s="31" t="str">
        <f t="shared" si="11"/>
        <v> </v>
      </c>
      <c r="L99" s="31" t="str">
        <f>IF(K99=" "," ",($L$26-$D$3*$F$12)*((K99/$F$12)-($C$18/(PI()))*SIN((PI()*K99)/$F$12))+$D$3*K99)</f>
        <v> </v>
      </c>
      <c r="M99" s="31" t="str">
        <f t="shared" si="15"/>
        <v> </v>
      </c>
    </row>
    <row r="100" spans="1:13">
      <c r="A100" s="31" t="str">
        <f t="shared" si="8"/>
        <v> </v>
      </c>
      <c r="B100" s="31" t="str">
        <f>IF(A100=" "," ",($B$26-$B$3*($F$9))*((A100/($F$9))-($C$18/(PI()))*SIN((PI()*A100)/($F$9)))+$B$3*A100)</f>
        <v> </v>
      </c>
      <c r="C100" s="31" t="str">
        <f t="shared" si="12"/>
        <v> </v>
      </c>
      <c r="D100" s="31" t="str">
        <f t="shared" si="9"/>
        <v> </v>
      </c>
      <c r="E100" s="31" t="str">
        <f>IF(D100=" "," ",($E$26-$B$3*($F$8))*((D100/($F$8))-($C$18/(PI()))*SIN((PI()*D100)/($F$8)))+$B$3*D100)</f>
        <v> </v>
      </c>
      <c r="F100" s="31" t="str">
        <f t="shared" si="13"/>
        <v> </v>
      </c>
      <c r="G100" s="31"/>
      <c r="H100" s="31" t="str">
        <f t="shared" si="10"/>
        <v> </v>
      </c>
      <c r="I100" s="31" t="str">
        <f>IF(H100=" "," ",($I$26-$D$3*$F$13)*((H100/$F$13)-($C$18/(PI()))*SIN((PI()*H100)/$F$13))+$D$3*H100)</f>
        <v> </v>
      </c>
      <c r="J100" s="31" t="str">
        <f t="shared" si="14"/>
        <v> </v>
      </c>
      <c r="K100" s="31" t="str">
        <f t="shared" si="11"/>
        <v> </v>
      </c>
      <c r="L100" s="31" t="str">
        <f>IF(K100=" "," ",($L$26-$D$3*$F$12)*((K100/$F$12)-($C$18/(PI()))*SIN((PI()*K100)/$F$12))+$D$3*K100)</f>
        <v> </v>
      </c>
      <c r="M100" s="31" t="str">
        <f t="shared" si="15"/>
        <v> </v>
      </c>
    </row>
    <row r="101" spans="1:13">
      <c r="A101" s="31" t="str">
        <f t="shared" si="8"/>
        <v> </v>
      </c>
      <c r="B101" s="31" t="str">
        <f>IF(A101=" "," ",($B$26-$B$3*($F$9))*((A101/($F$9))-($C$18/(PI()))*SIN((PI()*A101)/($F$9)))+$B$3*A101)</f>
        <v> </v>
      </c>
      <c r="C101" s="31" t="str">
        <f t="shared" si="12"/>
        <v> </v>
      </c>
      <c r="D101" s="31" t="str">
        <f t="shared" si="9"/>
        <v> </v>
      </c>
      <c r="E101" s="31" t="str">
        <f>IF(D101=" "," ",($E$26-$B$3*($F$8))*((D101/($F$8))-($C$18/(PI()))*SIN((PI()*D101)/($F$8)))+$B$3*D101)</f>
        <v> </v>
      </c>
      <c r="F101" s="31" t="str">
        <f t="shared" si="13"/>
        <v> </v>
      </c>
      <c r="G101" s="31"/>
      <c r="H101" s="31" t="str">
        <f t="shared" si="10"/>
        <v> </v>
      </c>
      <c r="I101" s="31" t="str">
        <f>IF(H101=" "," ",($I$26-$D$3*$F$13)*((H101/$F$13)-($C$18/(PI()))*SIN((PI()*H101)/$F$13))+$D$3*H101)</f>
        <v> </v>
      </c>
      <c r="J101" s="31" t="str">
        <f t="shared" si="14"/>
        <v> </v>
      </c>
      <c r="K101" s="31" t="str">
        <f t="shared" si="11"/>
        <v> </v>
      </c>
      <c r="L101" s="31" t="str">
        <f>IF(K101=" "," ",($L$26-$D$3*$F$12)*((K101/$F$12)-($C$18/(PI()))*SIN((PI()*K101)/$F$12))+$D$3*K101)</f>
        <v> </v>
      </c>
      <c r="M101" s="31" t="str">
        <f t="shared" si="15"/>
        <v> </v>
      </c>
    </row>
    <row r="102" spans="1:13">
      <c r="A102" s="31" t="str">
        <f t="shared" si="8"/>
        <v> </v>
      </c>
      <c r="B102" s="31" t="str">
        <f>IF(A102=" "," ",($B$26-$B$3*($F$9))*((A102/($F$9))-($C$18/(PI()))*SIN((PI()*A102)/($F$9)))+$B$3*A102)</f>
        <v> </v>
      </c>
      <c r="C102" s="31" t="str">
        <f t="shared" si="12"/>
        <v> </v>
      </c>
      <c r="D102" s="31" t="str">
        <f t="shared" si="9"/>
        <v> </v>
      </c>
      <c r="E102" s="31" t="str">
        <f>IF(D102=" "," ",($E$26-$B$3*($F$8))*((D102/($F$8))-($C$18/(PI()))*SIN((PI()*D102)/($F$8)))+$B$3*D102)</f>
        <v> </v>
      </c>
      <c r="F102" s="31" t="str">
        <f t="shared" si="13"/>
        <v> </v>
      </c>
      <c r="G102" s="31"/>
      <c r="H102" s="31" t="str">
        <f t="shared" si="10"/>
        <v> </v>
      </c>
      <c r="I102" s="31" t="str">
        <f>IF(H102=" "," ",($I$26-$D$3*$F$13)*((H102/$F$13)-($C$18/(PI()))*SIN((PI()*H102)/$F$13))+$D$3*H102)</f>
        <v> </v>
      </c>
      <c r="J102" s="31" t="str">
        <f t="shared" si="14"/>
        <v> </v>
      </c>
      <c r="K102" s="31" t="str">
        <f t="shared" si="11"/>
        <v> </v>
      </c>
      <c r="L102" s="31" t="str">
        <f>IF(K102=" "," ",($L$26-$D$3*$F$12)*((K102/$F$12)-($C$18/(PI()))*SIN((PI()*K102)/$F$12))+$D$3*K102)</f>
        <v> </v>
      </c>
      <c r="M102" s="31" t="str">
        <f t="shared" si="15"/>
        <v> </v>
      </c>
    </row>
    <row r="103" spans="1:13">
      <c r="A103" s="31" t="str">
        <f t="shared" si="8"/>
        <v> </v>
      </c>
      <c r="B103" s="31" t="str">
        <f>IF(A103=" "," ",($B$26-$B$3*($F$9))*((A103/($F$9))-($C$18/(PI()))*SIN((PI()*A103)/($F$9)))+$B$3*A103)</f>
        <v> </v>
      </c>
      <c r="C103" s="31" t="str">
        <f t="shared" si="12"/>
        <v> </v>
      </c>
      <c r="D103" s="31" t="str">
        <f t="shared" si="9"/>
        <v> </v>
      </c>
      <c r="E103" s="31" t="str">
        <f>IF(D103=" "," ",($E$26-$B$3*($F$8))*((D103/($F$8))-($C$18/(PI()))*SIN((PI()*D103)/($F$8)))+$B$3*D103)</f>
        <v> </v>
      </c>
      <c r="F103" s="31" t="str">
        <f t="shared" si="13"/>
        <v> </v>
      </c>
      <c r="G103" s="31"/>
      <c r="H103" s="31" t="str">
        <f t="shared" si="10"/>
        <v> </v>
      </c>
      <c r="I103" s="31" t="str">
        <f>IF(H103=" "," ",($I$26-$D$3*$F$13)*((H103/$F$13)-($C$18/(PI()))*SIN((PI()*H103)/$F$13))+$D$3*H103)</f>
        <v> </v>
      </c>
      <c r="J103" s="31" t="str">
        <f t="shared" si="14"/>
        <v> </v>
      </c>
      <c r="K103" s="31" t="str">
        <f t="shared" si="11"/>
        <v> </v>
      </c>
      <c r="L103" s="31" t="str">
        <f>IF(K103=" "," ",($L$26-$D$3*$F$12)*((K103/$F$12)-($C$18/(PI()))*SIN((PI()*K103)/$F$12))+$D$3*K103)</f>
        <v> </v>
      </c>
      <c r="M103" s="31" t="str">
        <f t="shared" si="15"/>
        <v> </v>
      </c>
    </row>
    <row r="104" spans="1:13">
      <c r="A104" s="31" t="str">
        <f t="shared" si="8"/>
        <v> </v>
      </c>
      <c r="B104" s="31" t="str">
        <f>IF(A104=" "," ",($B$26-$B$3*($F$9))*((A104/($F$9))-($C$18/(PI()))*SIN((PI()*A104)/($F$9)))+$B$3*A104)</f>
        <v> </v>
      </c>
      <c r="C104" s="31" t="str">
        <f t="shared" si="12"/>
        <v> </v>
      </c>
      <c r="D104" s="31" t="str">
        <f t="shared" si="9"/>
        <v> </v>
      </c>
      <c r="E104" s="31" t="str">
        <f>IF(D104=" "," ",($E$26-$B$3*($F$8))*((D104/($F$8))-($C$18/(PI()))*SIN((PI()*D104)/($F$8)))+$B$3*D104)</f>
        <v> </v>
      </c>
      <c r="F104" s="31" t="str">
        <f t="shared" si="13"/>
        <v> </v>
      </c>
      <c r="G104" s="31"/>
      <c r="H104" s="31" t="str">
        <f t="shared" si="10"/>
        <v> </v>
      </c>
      <c r="I104" s="31" t="str">
        <f>IF(H104=" "," ",($I$26-$D$3*$F$13)*((H104/$F$13)-($C$18/(PI()))*SIN((PI()*H104)/$F$13))+$D$3*H104)</f>
        <v> </v>
      </c>
      <c r="J104" s="31" t="str">
        <f t="shared" si="14"/>
        <v> </v>
      </c>
      <c r="K104" s="31" t="str">
        <f t="shared" si="11"/>
        <v> </v>
      </c>
      <c r="L104" s="31" t="str">
        <f>IF(K104=" "," ",($L$26-$D$3*$F$12)*((K104/$F$12)-($C$18/(PI()))*SIN((PI()*K104)/$F$12))+$D$3*K104)</f>
        <v> </v>
      </c>
      <c r="M104" s="31" t="str">
        <f t="shared" si="15"/>
        <v> </v>
      </c>
    </row>
    <row r="105" spans="1:13">
      <c r="A105" s="31" t="str">
        <f t="shared" si="8"/>
        <v> </v>
      </c>
      <c r="B105" s="31" t="str">
        <f>IF(A105=" "," ",($B$26-$B$3*($F$9))*((A105/($F$9))-($C$18/(PI()))*SIN((PI()*A105)/($F$9)))+$B$3*A105)</f>
        <v> </v>
      </c>
      <c r="C105" s="31" t="str">
        <f t="shared" si="12"/>
        <v> </v>
      </c>
      <c r="D105" s="31" t="str">
        <f t="shared" si="9"/>
        <v> </v>
      </c>
      <c r="E105" s="31" t="str">
        <f>IF(D105=" "," ",($E$26-$B$3*($F$8))*((D105/($F$8))-($C$18/(PI()))*SIN((PI()*D105)/($F$8)))+$B$3*D105)</f>
        <v> </v>
      </c>
      <c r="F105" s="31" t="str">
        <f t="shared" si="13"/>
        <v> </v>
      </c>
      <c r="G105" s="31"/>
      <c r="H105" s="31" t="str">
        <f t="shared" si="10"/>
        <v> </v>
      </c>
      <c r="I105" s="31" t="str">
        <f>IF(H105=" "," ",($I$26-$D$3*$F$13)*((H105/$F$13)-($C$18/(PI()))*SIN((PI()*H105)/$F$13))+$D$3*H105)</f>
        <v> </v>
      </c>
      <c r="J105" s="31" t="str">
        <f t="shared" si="14"/>
        <v> </v>
      </c>
      <c r="K105" s="31" t="str">
        <f t="shared" si="11"/>
        <v> </v>
      </c>
      <c r="L105" s="31" t="str">
        <f>IF(K105=" "," ",($L$26-$D$3*$F$12)*((K105/$F$12)-($C$18/(PI()))*SIN((PI()*K105)/$F$12))+$D$3*K105)</f>
        <v> </v>
      </c>
      <c r="M105" s="31" t="str">
        <f t="shared" si="15"/>
        <v> </v>
      </c>
    </row>
    <row r="106" spans="1:13">
      <c r="A106" s="31" t="str">
        <f t="shared" si="8"/>
        <v> </v>
      </c>
      <c r="B106" s="31" t="str">
        <f>IF(A106=" "," ",($B$26-$B$3*($F$9))*((A106/($F$9))-($C$18/(PI()))*SIN((PI()*A106)/($F$9)))+$B$3*A106)</f>
        <v> </v>
      </c>
      <c r="C106" s="31" t="str">
        <f t="shared" si="12"/>
        <v> </v>
      </c>
      <c r="D106" s="31" t="str">
        <f t="shared" si="9"/>
        <v> </v>
      </c>
      <c r="E106" s="31" t="str">
        <f>IF(D106=" "," ",($E$26-$B$3*($F$8))*((D106/($F$8))-($C$18/(PI()))*SIN((PI()*D106)/($F$8)))+$B$3*D106)</f>
        <v> </v>
      </c>
      <c r="F106" s="31" t="str">
        <f t="shared" si="13"/>
        <v> </v>
      </c>
      <c r="G106" s="31"/>
      <c r="H106" s="31" t="str">
        <f t="shared" si="10"/>
        <v> </v>
      </c>
      <c r="I106" s="31" t="str">
        <f>IF(H106=" "," ",($I$26-$D$3*$F$13)*((H106/$F$13)-($C$18/(PI()))*SIN((PI()*H106)/$F$13))+$D$3*H106)</f>
        <v> </v>
      </c>
      <c r="J106" s="31" t="str">
        <f t="shared" si="14"/>
        <v> </v>
      </c>
      <c r="K106" s="31" t="str">
        <f t="shared" si="11"/>
        <v> </v>
      </c>
      <c r="L106" s="31" t="str">
        <f>IF(K106=" "," ",($L$26-$D$3*$F$12)*((K106/$F$12)-($C$18/(PI()))*SIN((PI()*K106)/$F$12))+$D$3*K106)</f>
        <v> </v>
      </c>
      <c r="M106" s="31" t="str">
        <f t="shared" si="15"/>
        <v> 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 t="str">
        <f t="shared" si="10"/>
        <v> </v>
      </c>
      <c r="I107" s="31" t="str">
        <f>IF(H107=" "," ",($I$26-$D$3*$F$13)*((H107/$F$13)-($C$18/(PI()))*SIN((PI()*H107)/$F$13))+$D$3*H107)</f>
        <v> </v>
      </c>
      <c r="J107" s="31" t="str">
        <f t="shared" si="14"/>
        <v> </v>
      </c>
      <c r="K107" s="31" t="str">
        <f t="shared" si="11"/>
        <v> </v>
      </c>
      <c r="L107" s="31" t="str">
        <f>IF(K107=" "," ",($L$26-$D$3*$F$12)*((K107/$F$12)-($C$18/(PI()))*SIN((PI()*K107)/$F$12))+$D$3*K107)</f>
        <v> </v>
      </c>
      <c r="M107" s="31" t="str">
        <f t="shared" si="15"/>
        <v> 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 t="str">
        <f t="shared" si="10"/>
        <v> </v>
      </c>
      <c r="I108" s="31" t="str">
        <f>IF(H108=" "," ",($I$26-$D$3*$F$13)*((H108/$F$13)-($C$18/(PI()))*SIN((PI()*H108)/$F$13))+$D$3*H108)</f>
        <v> </v>
      </c>
      <c r="J108" s="31" t="str">
        <f t="shared" si="14"/>
        <v> 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 t="str">
        <f t="shared" si="10"/>
        <v> </v>
      </c>
      <c r="I109" s="31" t="str">
        <f>IF(H109=" "," ",($I$26-$D$3*$F$13)*((H109/$F$13)-($C$18/(PI()))*SIN((PI()*H109)/$F$13))+$D$3*H109)</f>
        <v> </v>
      </c>
      <c r="J109" s="31" t="str">
        <f t="shared" si="14"/>
        <v> 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 t="str">
        <f t="shared" si="10"/>
        <v> </v>
      </c>
      <c r="I110" s="31" t="str">
        <f>IF(H110=" "," ",($I$26-$D$3*$F$13)*((H110/$F$13)-($C$18/(PI()))*SIN((PI()*H110)/$F$13))+$D$3*H110)</f>
        <v> </v>
      </c>
      <c r="J110" s="31" t="str">
        <f t="shared" si="14"/>
        <v> 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 t="str">
        <f t="shared" si="10"/>
        <v> </v>
      </c>
      <c r="I111" s="31" t="str">
        <f>IF(H111=" "," ",($I$26-$D$3*$F$13)*((H111/$F$13)-($C$18/(PI()))*SIN((PI()*H111)/$F$13))+$D$3*H111)</f>
        <v> </v>
      </c>
      <c r="J111" s="31" t="str">
        <f t="shared" si="14"/>
        <v> 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 t="str">
        <f t="shared" si="10"/>
        <v> </v>
      </c>
      <c r="I112" s="31" t="str">
        <f>IF(H112=" "," ",($I$26-$D$3*$F$13)*((H112/$F$13)-($C$18/(PI()))*SIN((PI()*H112)/$F$13))+$D$3*H112)</f>
        <v> </v>
      </c>
      <c r="J112" s="31" t="str">
        <f t="shared" si="14"/>
        <v> 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 t="str">
        <f t="shared" si="10"/>
        <v> </v>
      </c>
      <c r="I113" s="31" t="str">
        <f>IF(H113=" "," ",($I$26-$D$3*$F$13)*((H113/$F$13)-($C$18/(PI()))*SIN((PI()*H113)/$F$13))+$D$3*H113)</f>
        <v> </v>
      </c>
      <c r="J113" s="31" t="str">
        <f t="shared" si="14"/>
        <v> 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 t="str">
        <f t="shared" si="10"/>
        <v> </v>
      </c>
      <c r="I114" s="31" t="str">
        <f>IF(H114=" "," ",($I$26-$D$3*$F$13)*((H114/$F$13)-($C$18/(PI()))*SIN((PI()*H114)/$F$13))+$D$3*H114)</f>
        <v> </v>
      </c>
      <c r="J114" s="31" t="str">
        <f t="shared" si="14"/>
        <v> 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 t="str">
        <f t="shared" si="10"/>
        <v> </v>
      </c>
      <c r="I115" s="31" t="str">
        <f>IF(H115=" "," ",($I$26-$D$3*$F$13)*((H115/$F$13)-($C$18/(PI()))*SIN((PI()*H115)/$F$13))+$D$3*H115)</f>
        <v> </v>
      </c>
      <c r="J115" s="31" t="str">
        <f t="shared" si="14"/>
        <v> 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 t="str">
        <f t="shared" si="10"/>
        <v> </v>
      </c>
      <c r="I116" s="31" t="str">
        <f>IF(H116=" "," ",($I$26-$D$3*$F$13)*((H116/$F$13)-($C$18/(PI()))*SIN((PI()*H116)/$F$13))+$D$3*H116)</f>
        <v> </v>
      </c>
      <c r="J116" s="31" t="str">
        <f t="shared" si="14"/>
        <v> 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 t="str">
        <f t="shared" si="10"/>
        <v> </v>
      </c>
      <c r="I117" s="31" t="str">
        <f>IF(H117=" "," ",($I$26-$D$3*$F$13)*((H117/$F$13)-($C$18/(PI()))*SIN((PI()*H117)/$F$13))+$D$3*H117)</f>
        <v> </v>
      </c>
      <c r="J117" s="31" t="str">
        <f t="shared" si="14"/>
        <v> 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 t="str">
        <f t="shared" si="10"/>
        <v> </v>
      </c>
      <c r="I118" s="31" t="str">
        <f>IF(H118=" "," ",($I$26-$D$3*$F$13)*((H118/$F$13)-($C$18/(PI()))*SIN((PI()*H118)/$F$13))+$D$3*H118)</f>
        <v> </v>
      </c>
      <c r="J118" s="31" t="str">
        <f t="shared" si="14"/>
        <v> 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 t="str">
        <f t="shared" si="10"/>
        <v> </v>
      </c>
      <c r="I119" s="31" t="str">
        <f>IF(H119=" "," ",($I$26-$D$3*$F$13)*((H119/$F$13)-($C$18/(PI()))*SIN((PI()*H119)/$F$13))+$D$3*H119)</f>
        <v> </v>
      </c>
      <c r="J119" s="31" t="str">
        <f t="shared" si="14"/>
        <v> 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 t="str">
        <f t="shared" si="10"/>
        <v> </v>
      </c>
      <c r="I120" s="31" t="str">
        <f>IF(H120=" "," ",($I$26-$D$3*$F$13)*((H120/$F$13)-($C$18/(PI()))*SIN((PI()*H120)/$F$13))+$D$3*H120)</f>
        <v> </v>
      </c>
      <c r="J120" s="31" t="str">
        <f t="shared" si="14"/>
        <v> 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 t="str">
        <f t="shared" si="10"/>
        <v> </v>
      </c>
      <c r="I121" s="31" t="str">
        <f>IF(H121=" "," ",($I$26-$D$3*$F$13)*((H121/$F$13)-($C$18/(PI()))*SIN((PI()*H121)/$F$13))+$D$3*H121)</f>
        <v> </v>
      </c>
      <c r="J121" s="31" t="str">
        <f t="shared" si="14"/>
        <v> 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 t="str">
        <f t="shared" si="10"/>
        <v> </v>
      </c>
      <c r="I122" s="31" t="str">
        <f>IF(H122=" "," ",($I$26-$D$3*$F$13)*((H122/$F$13)-($C$18/(PI()))*SIN((PI()*H122)/$F$13))+$D$3*H122)</f>
        <v> </v>
      </c>
      <c r="J122" s="31" t="str">
        <f t="shared" si="14"/>
        <v> 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 t="str">
        <f t="shared" si="10"/>
        <v> </v>
      </c>
      <c r="I123" s="31" t="str">
        <f>IF(H123=" "," ",($I$26-$D$3*$F$13)*((H123/$F$13)-($C$18/(PI()))*SIN((PI()*H123)/$F$13))+$D$3*H123)</f>
        <v> </v>
      </c>
      <c r="J123" s="31" t="str">
        <f t="shared" si="14"/>
        <v> 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 t="str">
        <f t="shared" si="10"/>
        <v> </v>
      </c>
      <c r="I124" s="31" t="str">
        <f>IF(H124=" "," ",($I$26-$D$3*$F$13)*((H124/$F$13)-($C$18/(PI()))*SIN((PI()*H124)/$F$13))+$D$3*H124)</f>
        <v> </v>
      </c>
      <c r="J124" s="31" t="str">
        <f t="shared" si="14"/>
        <v> 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 t="str">
        <f t="shared" si="10"/>
        <v> </v>
      </c>
      <c r="I125" s="31" t="str">
        <f>IF(H125=" "," ",($I$26-$D$3*$F$13)*((H125/$F$13)-($C$18/(PI()))*SIN((PI()*H125)/$F$13))+$D$3*H125)</f>
        <v> </v>
      </c>
      <c r="J125" s="31" t="str">
        <f t="shared" si="14"/>
        <v> 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 t="str">
        <f t="shared" si="10"/>
        <v> </v>
      </c>
      <c r="I126" s="31" t="str">
        <f>IF(H126=" "," ",($I$26-$D$3*$F$13)*((H126/$F$13)-($C$18/(PI()))*SIN((PI()*H126)/$F$13))+$D$3*H126)</f>
        <v> </v>
      </c>
      <c r="J126" s="31" t="str">
        <f t="shared" si="14"/>
        <v> 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K15" sqref="K15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0.0074</v>
      </c>
      <c r="C3" s="7" t="s">
        <v>112</v>
      </c>
      <c r="D3" s="8">
        <v>0.0074</v>
      </c>
      <c r="E3" s="7" t="s">
        <v>113</v>
      </c>
      <c r="F3" s="8">
        <f>D3*9</f>
        <v>0.0666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1.4948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322</v>
      </c>
      <c r="C8" s="11" t="s">
        <v>125</v>
      </c>
      <c r="D8" s="12">
        <f>D7/B3</f>
        <v>202</v>
      </c>
      <c r="E8" s="7" t="s">
        <v>126</v>
      </c>
      <c r="F8" s="34">
        <v>60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60</v>
      </c>
      <c r="C9" s="13"/>
      <c r="D9" s="14"/>
      <c r="E9" s="7" t="s">
        <v>130</v>
      </c>
      <c r="F9" s="34">
        <v>60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2.9896</v>
      </c>
      <c r="E11" s="7"/>
      <c r="J11" s="41" t="s">
        <v>134</v>
      </c>
      <c r="K11" s="42">
        <f>(B3*K9)/K3</f>
        <v>2.3575903586663</v>
      </c>
    </row>
    <row r="12" ht="15.15" spans="1:11">
      <c r="A12" s="11" t="s">
        <v>135</v>
      </c>
      <c r="B12" s="12">
        <f>D12+F13+F12</f>
        <v>539</v>
      </c>
      <c r="C12" s="15" t="s">
        <v>136</v>
      </c>
      <c r="D12" s="12">
        <f>D11/D3</f>
        <v>404</v>
      </c>
      <c r="E12" s="7" t="s">
        <v>137</v>
      </c>
      <c r="F12" s="34">
        <v>60</v>
      </c>
      <c r="G12" t="s">
        <v>127</v>
      </c>
      <c r="J12" s="43" t="s">
        <v>138</v>
      </c>
      <c r="K12" s="29">
        <f>(1-EXP(-1*K11/25))</f>
        <v>0.0899935707139118</v>
      </c>
    </row>
    <row r="13" ht="15.15" spans="1:7">
      <c r="A13" s="11" t="s">
        <v>139</v>
      </c>
      <c r="B13" s="12">
        <f>F12</f>
        <v>60</v>
      </c>
      <c r="C13" s="13"/>
      <c r="D13" s="14"/>
      <c r="E13" s="7" t="s">
        <v>140</v>
      </c>
      <c r="F13" s="34">
        <v>75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0.00074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46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1.197</v>
      </c>
      <c r="G20" s="35" t="s">
        <v>147</v>
      </c>
      <c r="H20" s="36">
        <f>(B8*B12*B16)/1000000</f>
        <v>7.983668</v>
      </c>
      <c r="I20">
        <v>0.54</v>
      </c>
    </row>
    <row r="21" spans="1:8">
      <c r="A21" s="24" t="s">
        <v>148</v>
      </c>
      <c r="B21" s="25"/>
      <c r="C21" s="26">
        <f>ROUND(MAX(C29:C529),3)</f>
        <v>1.197</v>
      </c>
      <c r="G21" s="35"/>
      <c r="H21" s="36"/>
    </row>
    <row r="22" spans="1:7">
      <c r="A22" s="24" t="s">
        <v>149</v>
      </c>
      <c r="B22" s="25"/>
      <c r="C22" s="26">
        <f>ROUND(MAX(M28:M528),3)</f>
        <v>1.199</v>
      </c>
      <c r="G22" s="37"/>
    </row>
    <row r="23" ht="15.15" spans="1:6">
      <c r="A23" s="27" t="s">
        <v>150</v>
      </c>
      <c r="B23" s="28"/>
      <c r="C23" s="29">
        <f>ROUND(MAX(J28:J528),3)</f>
        <v>1.197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11.2526</v>
      </c>
      <c r="D26" s="7" t="s">
        <v>155</v>
      </c>
      <c r="E26" s="9">
        <f>B4-D7*0.5</f>
        <v>11.2526</v>
      </c>
      <c r="H26" s="7" t="s">
        <v>155</v>
      </c>
      <c r="I26" s="9">
        <f>B11-(D4+D11*0.5)</f>
        <v>21.6052</v>
      </c>
      <c r="K26" s="7" t="s">
        <v>155</v>
      </c>
      <c r="L26" s="9">
        <f>D4-D11*0.5</f>
        <v>11.4052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0.0074823009136462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0.0074823009136462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0.00748206969711759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0.00748346286981281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0.0154581366012659</v>
      </c>
      <c r="C30" s="31">
        <f t="shared" ref="C30:C93" si="4">IF(A30=" "," ",(B30-B29)/(B29-B28))</f>
        <v>1.06596029479025</v>
      </c>
      <c r="D30" s="31">
        <f t="shared" si="1"/>
        <v>2</v>
      </c>
      <c r="E30" s="31">
        <f>IF(D30=" "," ",($E$26-$B$3*($F$8))*((D30/($F$8))-($C$18/(PI()))*SIN((PI()*D30)/($F$8)))+$B$3*D30)</f>
        <v>0.0154581366012659</v>
      </c>
      <c r="F30" s="31">
        <f t="shared" ref="F30:F93" si="5">IF(D30=" "," ",(E30-E29)/(E29-E28))</f>
        <v>1.06596029479025</v>
      </c>
      <c r="G30" s="31"/>
      <c r="H30" s="31">
        <f t="shared" si="2"/>
        <v>2</v>
      </c>
      <c r="I30" s="31">
        <f>IF(H30=" "," ",($I$26-$D$3*$F$13)*((H30/$F$13)-($C$18/(PI()))*SIN((PI()*H30)/$F$13))+$D$3*H30)</f>
        <v>0.0154563847988459</v>
      </c>
      <c r="J30" s="31">
        <f t="shared" ref="J30:J93" si="6">IF(H30=" "," ",(I30-I29)/(I29-I28))</f>
        <v>1.06579000524419</v>
      </c>
      <c r="K30" s="31">
        <f t="shared" si="3"/>
        <v>2</v>
      </c>
      <c r="L30" s="31">
        <f>IF(K30=" "," ",($L$26-$D$3*$F$12)*((K30/$F$12)-($C$18/(PI()))*SIN((PI()*K30)/$F$12))+$D$3*K30)</f>
        <v>0.0154674284286397</v>
      </c>
      <c r="M30" s="31">
        <f t="shared" ref="M30:M93" si="7">IF(K30=" "," ",(L30-L29)/(L29-L28))</f>
        <v>1.06688116153192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0.0244196890923221</v>
      </c>
      <c r="C31" s="31">
        <f t="shared" si="4"/>
        <v>1.12358790251492</v>
      </c>
      <c r="D31" s="31">
        <f t="shared" si="1"/>
        <v>3</v>
      </c>
      <c r="E31" s="31">
        <f>IF(D31=" "," ",($E$26-$B$3*($F$8))*((D31/($F$8))-($C$18/(PI()))*SIN((PI()*D31)/($F$8)))+$B$3*D31)</f>
        <v>0.0244196890923221</v>
      </c>
      <c r="F31" s="31">
        <f t="shared" si="5"/>
        <v>1.12358790251492</v>
      </c>
      <c r="G31" s="31"/>
      <c r="H31" s="31">
        <f t="shared" si="2"/>
        <v>3</v>
      </c>
      <c r="I31" s="31">
        <f>IF(H31=" "," ",($I$26-$D$3*$F$13)*((H31/$F$13)-($C$18/(PI()))*SIN((PI()*H31)/$F$13))+$D$3*H31)</f>
        <v>0.0244143271440898</v>
      </c>
      <c r="J31" s="31">
        <f t="shared" si="6"/>
        <v>1.1233494326431</v>
      </c>
      <c r="K31" s="31">
        <f t="shared" si="3"/>
        <v>3</v>
      </c>
      <c r="L31" s="31">
        <f>IF(K31=" "," ",($L$26-$D$3*$F$12)*((K31/$F$12)-($C$18/(PI()))*SIN((PI()*K31)/$F$12))+$D$3*K31)</f>
        <v>0.0244510275224137</v>
      </c>
      <c r="M31" s="31">
        <f t="shared" si="7"/>
        <v>1.12520514117723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0.0348564386350364</v>
      </c>
      <c r="C32" s="31">
        <f t="shared" si="4"/>
        <v>1.16461400556771</v>
      </c>
      <c r="D32" s="31">
        <f t="shared" si="1"/>
        <v>4</v>
      </c>
      <c r="E32" s="31">
        <f>IF(D32=" "," ",($E$26-$B$3*($F$8))*((D32/($F$8))-($C$18/(PI()))*SIN((PI()*D32)/($F$8)))+$B$3*D32)</f>
        <v>0.0348564386350364</v>
      </c>
      <c r="F32" s="31">
        <f t="shared" si="5"/>
        <v>1.16461400556771</v>
      </c>
      <c r="G32" s="31"/>
      <c r="H32" s="31">
        <f t="shared" si="2"/>
        <v>4</v>
      </c>
      <c r="I32" s="31">
        <f>IF(H32=" "," ",($I$26-$D$3*$F$13)*((H32/$F$13)-($C$18/(PI()))*SIN((PI()*H32)/$F$13))+$D$3*H32)</f>
        <v>0.0348455529553309</v>
      </c>
      <c r="J32" s="31">
        <f t="shared" si="6"/>
        <v>1.16446672787299</v>
      </c>
      <c r="K32" s="31">
        <f t="shared" si="3"/>
        <v>4</v>
      </c>
      <c r="L32" s="31">
        <f>IF(K32=" "," ",($L$26-$D$3*$F$12)*((K32/$F$12)-($C$18/(PI()))*SIN((PI()*K32)/$F$12))+$D$3*K32)</f>
        <v>0.0349306510710324</v>
      </c>
      <c r="M32" s="31">
        <f t="shared" si="7"/>
        <v>1.16652840796084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0.0472538220650509</v>
      </c>
      <c r="C33" s="31">
        <f t="shared" si="4"/>
        <v>1.18785866991212</v>
      </c>
      <c r="D33" s="31">
        <f t="shared" si="1"/>
        <v>5</v>
      </c>
      <c r="E33" s="31">
        <f>IF(D33=" "," ",($E$26-$B$3*($F$8))*((D33/($F$8))-($C$18/(PI()))*SIN((PI()*D33)/($F$8)))+$B$3*D33)</f>
        <v>0.0472538220650509</v>
      </c>
      <c r="F33" s="31">
        <f t="shared" si="5"/>
        <v>1.18785866991212</v>
      </c>
      <c r="G33" s="31"/>
      <c r="H33" s="31">
        <f t="shared" si="2"/>
        <v>5</v>
      </c>
      <c r="I33" s="31">
        <f>IF(H33=" "," ",($I$26-$D$3*$F$13)*((H33/$F$13)-($C$18/(PI()))*SIN((PI()*H33)/$F$13))+$D$3*H33)</f>
        <v>0.0472371338152251</v>
      </c>
      <c r="J33" s="31">
        <f t="shared" si="6"/>
        <v>1.18793141708625</v>
      </c>
      <c r="K33" s="31">
        <f t="shared" si="3"/>
        <v>5</v>
      </c>
      <c r="L33" s="31">
        <f>IF(K33=" "," ",($L$26-$D$3*$F$12)*((K33/$F$12)-($C$18/(PI()))*SIN((PI()*K33)/$F$12))+$D$3*K33)</f>
        <v>0.0473985894953496</v>
      </c>
      <c r="M33" s="31">
        <f t="shared" si="7"/>
        <v>1.18973151721282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0.0620919022568051</v>
      </c>
      <c r="C34" s="31">
        <f t="shared" si="4"/>
        <v>1.19687192668662</v>
      </c>
      <c r="D34" s="31">
        <f t="shared" si="1"/>
        <v>6</v>
      </c>
      <c r="E34" s="31">
        <f>IF(D34=" "," ",($E$26-$B$3*($F$8))*((D34/($F$8))-($C$18/(PI()))*SIN((PI()*D34)/($F$8)))+$B$3*D34)</f>
        <v>0.0620919022568051</v>
      </c>
      <c r="F34" s="31">
        <f t="shared" si="5"/>
        <v>1.19687192668662</v>
      </c>
      <c r="G34" s="31"/>
      <c r="H34" s="31">
        <f t="shared" si="2"/>
        <v>6</v>
      </c>
      <c r="I34" s="31">
        <f>IF(H34=" "," ",($I$26-$D$3*$F$13)*((H34/$F$13)-($C$18/(PI()))*SIN((PI()*H34)/$F$13))+$D$3*H34)</f>
        <v>0.0620727021775409</v>
      </c>
      <c r="J34" s="31">
        <f t="shared" si="6"/>
        <v>1.19722967796075</v>
      </c>
      <c r="K34" s="31">
        <f t="shared" si="3"/>
        <v>6</v>
      </c>
      <c r="L34" s="31">
        <f>IF(K34=" "," ",($L$26-$D$3*$F$12)*((K34/$F$12)-($C$18/(PI()))*SIN((PI()*K34)/$F$12))+$D$3*K34)</f>
        <v>0.0623416833833514</v>
      </c>
      <c r="M34" s="31">
        <f t="shared" si="7"/>
        <v>1.19852163039698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0.0798440523045648</v>
      </c>
      <c r="C35" s="31">
        <f t="shared" si="4"/>
        <v>1.19639129984112</v>
      </c>
      <c r="D35" s="31">
        <f t="shared" si="1"/>
        <v>7</v>
      </c>
      <c r="E35" s="31">
        <f>IF(D35=" "," ",($E$26-$B$3*($F$8))*((D35/($F$8))-($C$18/(PI()))*SIN((PI()*D35)/($F$8)))+$B$3*D35)</f>
        <v>0.0798440523045648</v>
      </c>
      <c r="F35" s="31">
        <f t="shared" si="5"/>
        <v>1.19639129984112</v>
      </c>
      <c r="G35" s="31"/>
      <c r="H35" s="31">
        <f t="shared" si="2"/>
        <v>7</v>
      </c>
      <c r="I35" s="31">
        <f>IF(H35=" "," ",($I$26-$D$3*$F$13)*((H35/$F$13)-($C$18/(PI()))*SIN((PI()*H35)/$F$13))+$D$3*H35)</f>
        <v>0.0798316029114944</v>
      </c>
      <c r="J35" s="31">
        <f t="shared" si="6"/>
        <v>1.19704889629058</v>
      </c>
      <c r="K35" s="31">
        <f t="shared" si="3"/>
        <v>7</v>
      </c>
      <c r="L35" s="31">
        <f>IF(K35=" "," ",($L$26-$D$3*$F$12)*((K35/$F$12)-($C$18/(PI()))*SIN((PI()*K35)/$F$12))+$D$3*K35)</f>
        <v>0.0802399890939434</v>
      </c>
      <c r="M35" s="31">
        <f t="shared" si="7"/>
        <v>1.19776438833479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0.100975658039676</v>
      </c>
      <c r="C36" s="31">
        <f t="shared" si="4"/>
        <v>1.19036881044039</v>
      </c>
      <c r="D36" s="31">
        <f t="shared" si="1"/>
        <v>8</v>
      </c>
      <c r="E36" s="31">
        <f>IF(D36=" "," ",($E$26-$B$3*($F$8))*((D36/($F$8))-($C$18/(PI()))*SIN((PI()*D36)/($F$8)))+$B$3*D36)</f>
        <v>0.100975658039676</v>
      </c>
      <c r="F36" s="31">
        <f t="shared" si="5"/>
        <v>1.19036881044039</v>
      </c>
      <c r="G36" s="31"/>
      <c r="H36" s="31">
        <f t="shared" si="2"/>
        <v>8</v>
      </c>
      <c r="I36" s="31">
        <f>IF(H36=" "," ",($I$26-$D$3*$F$13)*((H36/$F$13)-($C$18/(PI()))*SIN((PI()*H36)/$F$13))+$D$3*H36)</f>
        <v>0.100988052367968</v>
      </c>
      <c r="J36" s="31">
        <f t="shared" si="6"/>
        <v>1.19131526063572</v>
      </c>
      <c r="K36" s="31">
        <f t="shared" si="3"/>
        <v>8</v>
      </c>
      <c r="L36" s="31">
        <f>IF(K36=" "," ",($L$26-$D$3*$F$12)*((K36/$F$12)-($C$18/(PI()))*SIN((PI()*K36)/$F$12))+$D$3*K36)</f>
        <v>0.10156546295584</v>
      </c>
      <c r="M36" s="31">
        <f t="shared" si="7"/>
        <v>1.19148003206119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0.125942842440347</v>
      </c>
      <c r="C37" s="31">
        <f t="shared" si="4"/>
        <v>1.18150909654665</v>
      </c>
      <c r="D37" s="31">
        <f t="shared" si="1"/>
        <v>9</v>
      </c>
      <c r="E37" s="31">
        <f>IF(D37=" "," ",($E$26-$B$3*($F$8))*((D37/($F$8))-($C$18/(PI()))*SIN((PI()*D37)/($F$8)))+$B$3*D37)</f>
        <v>0.125942842440347</v>
      </c>
      <c r="F37" s="31">
        <f t="shared" si="5"/>
        <v>1.18150909654665</v>
      </c>
      <c r="G37" s="31"/>
      <c r="H37" s="31">
        <f t="shared" si="2"/>
        <v>9</v>
      </c>
      <c r="I37" s="31">
        <f>IF(H37=" "," ",($I$26-$D$3*$F$13)*((H37/$F$13)-($C$18/(PI()))*SIN((PI()*H37)/$F$13))+$D$3*H37)</f>
        <v>0.126010306442888</v>
      </c>
      <c r="J37" s="31">
        <f t="shared" si="6"/>
        <v>1.1827246403703</v>
      </c>
      <c r="K37" s="31">
        <f t="shared" si="3"/>
        <v>9</v>
      </c>
      <c r="L37" s="31">
        <f>IF(K37=" "," ",($L$26-$D$3*$F$12)*((K37/$F$12)-($C$18/(PI()))*SIN((PI()*K37)/$F$12))+$D$3*K37)</f>
        <v>0.126780667668073</v>
      </c>
      <c r="M37" s="31">
        <f t="shared" si="7"/>
        <v>1.18239833147555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0.155191215430274</v>
      </c>
      <c r="C38" s="31">
        <f t="shared" si="4"/>
        <v>1.17147262264544</v>
      </c>
      <c r="D38" s="31">
        <f t="shared" si="1"/>
        <v>10</v>
      </c>
      <c r="E38" s="31">
        <f>IF(D38=" "," ",($E$26-$B$3*($F$8))*((D38/($F$8))-($C$18/(PI()))*SIN((PI()*D38)/($F$8)))+$B$3*D38)</f>
        <v>0.155191215430274</v>
      </c>
      <c r="F38" s="31">
        <f t="shared" si="5"/>
        <v>1.17147262264544</v>
      </c>
      <c r="G38" s="31"/>
      <c r="H38" s="31">
        <f t="shared" si="2"/>
        <v>10</v>
      </c>
      <c r="I38" s="31">
        <f>IF(H38=" "," ",($I$26-$D$3*$F$13)*((H38/$F$13)-($C$18/(PI()))*SIN((PI()*H38)/$F$13))+$D$3*H38)</f>
        <v>0.155359839097273</v>
      </c>
      <c r="J38" s="31">
        <f t="shared" si="6"/>
        <v>1.17293720088159</v>
      </c>
      <c r="K38" s="31">
        <f t="shared" si="3"/>
        <v>10</v>
      </c>
      <c r="L38" s="31">
        <f>IF(K38=" "," ",($L$26-$D$3*$F$12)*((K38/$F$12)-($C$18/(PI()))*SIN((PI()*K38)/$F$12))+$D$3*K38)</f>
        <v>0.156337504447784</v>
      </c>
      <c r="M38" s="31">
        <f t="shared" si="7"/>
        <v>1.17218309813571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0.189154652492809</v>
      </c>
      <c r="C39" s="31">
        <f t="shared" si="4"/>
        <v>1.16120773877688</v>
      </c>
      <c r="D39" s="31">
        <f t="shared" si="1"/>
        <v>11</v>
      </c>
      <c r="E39" s="31">
        <f>IF(D39=" "," ",($E$26-$B$3*($F$8))*((D39/($F$8))-($C$18/(PI()))*SIN((PI()*D39)/($F$8)))+$B$3*D39)</f>
        <v>0.189154652492809</v>
      </c>
      <c r="F39" s="31">
        <f t="shared" si="5"/>
        <v>1.16120773877688</v>
      </c>
      <c r="G39" s="31"/>
      <c r="H39" s="31">
        <f t="shared" si="2"/>
        <v>11</v>
      </c>
      <c r="I39" s="31">
        <f>IF(H39=" "," ",($I$26-$D$3*$F$13)*((H39/$F$13)-($C$18/(PI()))*SIN((PI()*H39)/$F$13))+$D$3*H39)</f>
        <v>0.189490532775091</v>
      </c>
      <c r="J39" s="31">
        <f t="shared" si="6"/>
        <v>1.16290416204359</v>
      </c>
      <c r="K39" s="31">
        <f t="shared" si="3"/>
        <v>11</v>
      </c>
      <c r="L39" s="31">
        <f>IF(K39=" "," ",($L$26-$D$3*$F$12)*((K39/$F$12)-($C$18/(PI()))*SIN((PI()*K39)/$F$12))+$D$3*K39)</f>
        <v>0.190675974400401</v>
      </c>
      <c r="M39" s="31">
        <f t="shared" si="7"/>
        <v>1.16177756803086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0.228254105448423</v>
      </c>
      <c r="C40" s="31">
        <f t="shared" si="4"/>
        <v>1.15122191207038</v>
      </c>
      <c r="D40" s="31">
        <f t="shared" si="1"/>
        <v>12</v>
      </c>
      <c r="E40" s="31">
        <f>IF(D40=" "," ",($E$26-$B$3*($F$8))*((D40/($F$8))-($C$18/(PI()))*SIN((PI()*D40)/($F$8)))+$B$3*D40)</f>
        <v>0.228254105448423</v>
      </c>
      <c r="F40" s="31">
        <f t="shared" si="5"/>
        <v>1.15122191207038</v>
      </c>
      <c r="G40" s="31"/>
      <c r="H40" s="31">
        <f t="shared" si="2"/>
        <v>12</v>
      </c>
      <c r="I40" s="31">
        <f>IF(H40=" "," ",($I$26-$D$3*$F$13)*((H40/$F$13)-($C$18/(PI()))*SIN((PI()*H40)/$F$13))+$D$3*H40)</f>
        <v>0.228847882139229</v>
      </c>
      <c r="J40" s="31">
        <f t="shared" si="6"/>
        <v>1.15313652091741</v>
      </c>
      <c r="K40" s="31">
        <f t="shared" si="3"/>
        <v>12</v>
      </c>
      <c r="L40" s="31">
        <f>IF(K40=" "," ",($L$26-$D$3*$F$12)*((K40/$F$12)-($C$18/(PI()))*SIN((PI()*K40)/$F$12))+$D$3*K40)</f>
        <v>0.230222972507194</v>
      </c>
      <c r="M40" s="31">
        <f t="shared" si="7"/>
        <v>1.15168201033307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0.272896448655025</v>
      </c>
      <c r="C41" s="31">
        <f t="shared" si="4"/>
        <v>1.14176388240725</v>
      </c>
      <c r="D41" s="31">
        <f t="shared" si="1"/>
        <v>13</v>
      </c>
      <c r="E41" s="31">
        <f>IF(D41=" "," ",($E$26-$B$3*($F$8))*((D41/($F$8))-($C$18/(PI()))*SIN((PI()*D41)/($F$8)))+$B$3*D41)</f>
        <v>0.272896448655025</v>
      </c>
      <c r="F41" s="31">
        <f t="shared" si="5"/>
        <v>1.14176388240725</v>
      </c>
      <c r="G41" s="31"/>
      <c r="H41" s="31">
        <f t="shared" si="2"/>
        <v>13</v>
      </c>
      <c r="I41" s="31">
        <f>IF(H41=" "," ",($I$26-$D$3*$F$13)*((H41/$F$13)-($C$18/(PI()))*SIN((PI()*H41)/$F$13))+$D$3*H41)</f>
        <v>0.273868212522469</v>
      </c>
      <c r="J41" s="31">
        <f t="shared" si="6"/>
        <v>1.14388624006938</v>
      </c>
      <c r="K41" s="31">
        <f t="shared" si="3"/>
        <v>13</v>
      </c>
      <c r="L41" s="31">
        <f>IF(K41=" "," ",($L$26-$D$3*$F$12)*((K41/$F$12)-($C$18/(PI()))*SIN((PI()*K41)/$F$12))+$D$3*K41)</f>
        <v>0.275391117535801</v>
      </c>
      <c r="M41" s="31">
        <f t="shared" si="7"/>
        <v>1.14213839712018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0.323473363793625</v>
      </c>
      <c r="C42" s="31">
        <f t="shared" si="4"/>
        <v>1.13293594165821</v>
      </c>
      <c r="D42" s="31">
        <f t="shared" si="1"/>
        <v>14</v>
      </c>
      <c r="E42" s="31">
        <f>IF(D42=" "," ",($E$26-$B$3*($F$8))*((D42/($F$8))-($C$18/(PI()))*SIN((PI()*D42)/($F$8)))+$B$3*D42)</f>
        <v>0.323473363793625</v>
      </c>
      <c r="F42" s="31">
        <f t="shared" si="5"/>
        <v>1.13293594165821</v>
      </c>
      <c r="G42" s="31"/>
      <c r="H42" s="31">
        <f t="shared" si="2"/>
        <v>14</v>
      </c>
      <c r="I42" s="31">
        <f>IF(H42=" "," ",($I$26-$D$3*$F$13)*((H42/$F$13)-($C$18/(PI()))*SIN((PI()*H42)/$F$13))+$D$3*H42)</f>
        <v>0.32497791446459</v>
      </c>
      <c r="J42" s="31">
        <f t="shared" si="6"/>
        <v>1.13525826014702</v>
      </c>
      <c r="K42" s="31">
        <f t="shared" si="3"/>
        <v>14</v>
      </c>
      <c r="L42" s="31">
        <f>IF(K42=" "," ",($L$26-$D$3*$F$12)*((K42/$F$12)-($C$18/(PI()))*SIN((PI()*K42)/$F$12))+$D$3*K42)</f>
        <v>0.326577621080869</v>
      </c>
      <c r="M42" s="31">
        <f t="shared" si="7"/>
        <v>1.13324342880695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0.380360266296076</v>
      </c>
      <c r="C43" s="31">
        <f t="shared" si="4"/>
        <v>1.12476022601535</v>
      </c>
      <c r="D43" s="31">
        <f t="shared" si="1"/>
        <v>15</v>
      </c>
      <c r="E43" s="31">
        <f>IF(D43=" "," ",($E$26-$B$3*($F$8))*((D43/($F$8))-($C$18/(PI()))*SIN((PI()*D43)/($F$8)))+$B$3*D43)</f>
        <v>0.380360266296076</v>
      </c>
      <c r="F43" s="31">
        <f t="shared" si="5"/>
        <v>1.12476022601535</v>
      </c>
      <c r="G43" s="31"/>
      <c r="H43" s="31">
        <f t="shared" si="2"/>
        <v>15</v>
      </c>
      <c r="I43" s="31">
        <f>IF(H43=" "," ",($I$26-$D$3*$F$13)*((H43/$F$13)-($C$18/(PI()))*SIN((PI()*H43)/$F$13))+$D$3*H43)</f>
        <v>0.382592695678478</v>
      </c>
      <c r="J43" s="31">
        <f t="shared" si="6"/>
        <v>1.12727679920992</v>
      </c>
      <c r="K43" s="31">
        <f t="shared" si="3"/>
        <v>15</v>
      </c>
      <c r="L43" s="31">
        <f>IF(K43=" "," ",($L$26-$D$3*$F$12)*((K43/$F$12)-($C$18/(PI()))*SIN((PI()*K43)/$F$12))+$D$3*K43)</f>
        <v>0.384163198834682</v>
      </c>
      <c r="M43" s="31">
        <f t="shared" si="7"/>
        <v>1.12501487238938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0.443915276357468</v>
      </c>
      <c r="C44" s="31">
        <f t="shared" si="4"/>
        <v>1.11721692104178</v>
      </c>
      <c r="D44" s="31">
        <f t="shared" si="1"/>
        <v>16</v>
      </c>
      <c r="E44" s="31">
        <f>IF(D44=" "," ",($E$26-$B$3*($F$8))*((D44/($F$8))-($C$18/(PI()))*SIN((PI()*D44)/($F$8)))+$B$3*D44)</f>
        <v>0.443915276357468</v>
      </c>
      <c r="F44" s="31">
        <f t="shared" si="5"/>
        <v>1.11721692104178</v>
      </c>
      <c r="G44" s="31"/>
      <c r="H44" s="31">
        <f t="shared" si="2"/>
        <v>16</v>
      </c>
      <c r="I44" s="31">
        <f>IF(H44=" "," ",($I$26-$D$3*$F$13)*((H44/$F$13)-($C$18/(PI()))*SIN((PI()*H44)/$F$13))+$D$3*H44)</f>
        <v>0.447116851757533</v>
      </c>
      <c r="J44" s="31">
        <f t="shared" si="6"/>
        <v>1.11992365013967</v>
      </c>
      <c r="K44" s="31">
        <f t="shared" si="3"/>
        <v>16</v>
      </c>
      <c r="L44" s="31">
        <f>IF(K44=" "," ",($L$26-$D$3*$F$12)*((K44/$F$12)-($C$18/(PI()))*SIN((PI()*K44)/$F$12))+$D$3*K44)</f>
        <v>0.448511027071913</v>
      </c>
      <c r="M44" s="31">
        <f t="shared" si="7"/>
        <v>1.11742958475345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0.514478237353567</v>
      </c>
      <c r="C45" s="31">
        <f t="shared" si="4"/>
        <v>1.11026590866616</v>
      </c>
      <c r="D45" s="31">
        <f t="shared" si="1"/>
        <v>17</v>
      </c>
      <c r="E45" s="31">
        <f>IF(D45=" "," ",($E$26-$B$3*($F$8))*((D45/($F$8))-($C$18/(PI()))*SIN((PI()*D45)/($F$8)))+$B$3*D45)</f>
        <v>0.514478237353567</v>
      </c>
      <c r="F45" s="31">
        <f t="shared" si="5"/>
        <v>1.11026590866616</v>
      </c>
      <c r="G45" s="31"/>
      <c r="H45" s="31">
        <f t="shared" si="2"/>
        <v>17</v>
      </c>
      <c r="I45" s="31">
        <f>IF(H45=" "," ",($I$26-$D$3*$F$13)*((H45/$F$13)-($C$18/(PI()))*SIN((PI()*H45)/$F$13))+$D$3*H45)</f>
        <v>0.518942556903819</v>
      </c>
      <c r="J45" s="31">
        <f t="shared" si="6"/>
        <v>1.11315993127108</v>
      </c>
      <c r="K45" s="31">
        <f t="shared" si="3"/>
        <v>17</v>
      </c>
      <c r="L45" s="31">
        <f>IF(K45=" "," ",($L$26-$D$3*$F$12)*((K45/$F$12)-($C$18/(PI()))*SIN((PI()*K45)/$F$12))+$D$3*K45)</f>
        <v>0.519965747208697</v>
      </c>
      <c r="M45" s="31">
        <f t="shared" si="7"/>
        <v>1.11044493799156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0.592369784353745</v>
      </c>
      <c r="C46" s="31">
        <f t="shared" si="4"/>
        <v>1.10385882197437</v>
      </c>
      <c r="D46" s="31">
        <f t="shared" si="1"/>
        <v>18</v>
      </c>
      <c r="E46" s="31">
        <f>IF(D46=" "," ",($E$26-$B$3*($F$8))*((D46/($F$8))-($C$18/(PI()))*SIN((PI()*D46)/($F$8)))+$B$3*D46)</f>
        <v>0.592369784353745</v>
      </c>
      <c r="F46" s="31">
        <f t="shared" si="5"/>
        <v>1.10385882197437</v>
      </c>
      <c r="G46" s="31"/>
      <c r="H46" s="31">
        <f t="shared" si="2"/>
        <v>18</v>
      </c>
      <c r="I46" s="31">
        <f>IF(H46=" "," ",($I$26-$D$3*$F$13)*((H46/$F$13)-($C$18/(PI()))*SIN((PI()*H46)/$F$13))+$D$3*H46)</f>
        <v>0.598449175921256</v>
      </c>
      <c r="J46" s="31">
        <f t="shared" si="6"/>
        <v>1.10693823131298</v>
      </c>
      <c r="K46" s="31">
        <f t="shared" si="3"/>
        <v>18</v>
      </c>
      <c r="L46" s="31">
        <f>IF(K46=" "," ",($L$26-$D$3*$F$12)*((K46/$F$12)-($C$18/(PI()))*SIN((PI()*K46)/$F$12))+$D$3*K46)</f>
        <v>0.598852521164468</v>
      </c>
      <c r="M46" s="31">
        <f t="shared" si="7"/>
        <v>1.10401067703799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0.677890465282536</v>
      </c>
      <c r="C47" s="31">
        <f t="shared" si="4"/>
        <v>1.09794559515677</v>
      </c>
      <c r="D47" s="31">
        <f t="shared" si="1"/>
        <v>19</v>
      </c>
      <c r="E47" s="31">
        <f>IF(D47=" "," ",($E$26-$B$3*($F$8))*((D47/($F$8))-($C$18/(PI()))*SIN((PI()*D47)/($F$8)))+$B$3*D47)</f>
        <v>0.677890465282536</v>
      </c>
      <c r="F47" s="31">
        <f t="shared" si="5"/>
        <v>1.09794559515677</v>
      </c>
      <c r="G47" s="31"/>
      <c r="H47" s="31">
        <f t="shared" si="2"/>
        <v>19</v>
      </c>
      <c r="I47" s="31">
        <f>IF(H47=" "," ",($I$26-$D$3*$F$13)*((H47/$F$13)-($C$18/(PI()))*SIN((PI()*H47)/$F$13))+$D$3*H47)</f>
        <v>0.686002598680843</v>
      </c>
      <c r="J47" s="31">
        <f t="shared" si="6"/>
        <v>1.10120923064763</v>
      </c>
      <c r="K47" s="31">
        <f t="shared" si="3"/>
        <v>19</v>
      </c>
      <c r="L47" s="31">
        <f>IF(K47=" "," ",($L$26-$D$3*$F$12)*((K47/$F$12)-($C$18/(PI()))*SIN((PI()*K47)/$F$12))+$D$3*K47)</f>
        <v>0.685476140115735</v>
      </c>
      <c r="M47" s="31">
        <f t="shared" si="7"/>
        <v>1.09807531234367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0.771319917138675</v>
      </c>
      <c r="C48" s="31">
        <f t="shared" si="4"/>
        <v>1.09247787601145</v>
      </c>
      <c r="D48" s="31">
        <f t="shared" si="1"/>
        <v>20</v>
      </c>
      <c r="E48" s="31">
        <f>IF(D48=" "," ",($E$26-$B$3*($F$8))*((D48/($F$8))-($C$18/(PI()))*SIN((PI()*D48)/($F$8)))+$B$3*D48)</f>
        <v>0.771319917138675</v>
      </c>
      <c r="F48" s="31">
        <f t="shared" si="5"/>
        <v>1.09247787601145</v>
      </c>
      <c r="G48" s="31"/>
      <c r="H48" s="31">
        <f t="shared" si="2"/>
        <v>20</v>
      </c>
      <c r="I48" s="31">
        <f>IF(H48=" "," ",($I$26-$D$3*$F$13)*((H48/$F$13)-($C$18/(PI()))*SIN((PI()*H48)/$F$13))+$D$3*H48)</f>
        <v>0.781954598225486</v>
      </c>
      <c r="J48" s="31">
        <f t="shared" si="6"/>
        <v>1.09592516797565</v>
      </c>
      <c r="K48" s="31">
        <f t="shared" si="3"/>
        <v>20</v>
      </c>
      <c r="L48" s="31">
        <f>IF(K48=" "," ",($L$26-$D$3*$F$12)*((K48/$F$12)-($C$18/(PI()))*SIN((PI()*K48)/$F$12))+$D$3*K48)</f>
        <v>0.780120189084659</v>
      </c>
      <c r="M48" s="31">
        <f t="shared" si="7"/>
        <v>1.09258941285019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0.872916099529516</v>
      </c>
      <c r="C49" s="31">
        <f t="shared" si="4"/>
        <v>1.08741066518592</v>
      </c>
      <c r="D49" s="31">
        <f t="shared" si="1"/>
        <v>21</v>
      </c>
      <c r="E49" s="31">
        <f>IF(D49=" "," ",($E$26-$B$3*($F$8))*((D49/($F$8))-($C$18/(PI()))*SIN((PI()*D49)/($F$8)))+$B$3*D49)</f>
        <v>0.872916099529516</v>
      </c>
      <c r="F49" s="31">
        <f t="shared" si="5"/>
        <v>1.08741066518592</v>
      </c>
      <c r="G49" s="31"/>
      <c r="H49" s="31">
        <f t="shared" si="2"/>
        <v>21</v>
      </c>
      <c r="I49" s="31">
        <f>IF(H49=" "," ",($I$26-$D$3*$F$13)*((H49/$F$13)-($C$18/(PI()))*SIN((PI()*H49)/$F$13))+$D$3*H49)</f>
        <v>0.886642213640561</v>
      </c>
      <c r="J49" s="31">
        <f t="shared" si="6"/>
        <v>1.0910415198421</v>
      </c>
      <c r="K49" s="31">
        <f t="shared" si="3"/>
        <v>21</v>
      </c>
      <c r="L49" s="31">
        <f>IF(K49=" "," ",($L$26-$D$3*$F$12)*((K49/$F$12)-($C$18/(PI()))*SIN((PI()*K49)/$F$12))+$D$3*K49)</f>
        <v>0.883046269652215</v>
      </c>
      <c r="M49" s="31">
        <f t="shared" si="7"/>
        <v>1.08750715643358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0.982914587621677</v>
      </c>
      <c r="C50" s="31">
        <f t="shared" si="4"/>
        <v>1.08270296682012</v>
      </c>
      <c r="D50" s="31">
        <f t="shared" si="1"/>
        <v>22</v>
      </c>
      <c r="E50" s="31">
        <f>IF(D50=" "," ",($E$26-$B$3*($F$8))*((D50/($F$8))-($C$18/(PI()))*SIN((PI()*D50)/($F$8)))+$B$3*D50)</f>
        <v>0.982914587621677</v>
      </c>
      <c r="F50" s="31">
        <f t="shared" si="5"/>
        <v>1.08270296682012</v>
      </c>
      <c r="G50" s="31"/>
      <c r="H50" s="31">
        <f t="shared" si="2"/>
        <v>22</v>
      </c>
      <c r="I50" s="31">
        <f>IF(H50=" "," ",($I$26-$D$3*$F$13)*((H50/$F$13)-($C$18/(PI()))*SIN((PI()*H50)/$F$13))+$D$3*H50)</f>
        <v>1.00038715877282</v>
      </c>
      <c r="J50" s="31">
        <f t="shared" si="6"/>
        <v>1.08651768101964</v>
      </c>
      <c r="K50" s="31">
        <f t="shared" si="3"/>
        <v>22</v>
      </c>
      <c r="L50" s="31">
        <f>IF(K50=" "," ",($L$26-$D$3*$F$12)*((K50/$F$12)-($C$18/(PI()))*SIN((PI()*K50)/$F$12))+$D$3*K50)</f>
        <v>0.994493282926441</v>
      </c>
      <c r="M50" s="31">
        <f t="shared" si="7"/>
        <v>1.08278691522775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1.10152792644589</v>
      </c>
      <c r="C51" s="31">
        <f t="shared" si="4"/>
        <v>1.07831790128638</v>
      </c>
      <c r="D51" s="31">
        <f t="shared" si="1"/>
        <v>23</v>
      </c>
      <c r="E51" s="31">
        <f>IF(D51=" "," ",($E$26-$B$3*($F$8))*((D51/($F$8))-($C$18/(PI()))*SIN((PI()*D51)/($F$8)))+$B$3*D51)</f>
        <v>1.10152792644589</v>
      </c>
      <c r="F51" s="31">
        <f t="shared" si="5"/>
        <v>1.07831790128638</v>
      </c>
      <c r="G51" s="31"/>
      <c r="H51" s="31">
        <f t="shared" si="2"/>
        <v>23</v>
      </c>
      <c r="I51" s="31">
        <f>IF(H51=" "," ",($I$26-$D$3*$F$13)*((H51/$F$13)-($C$18/(PI()))*SIN((PI()*H51)/$F$13))+$D$3*H51)</f>
        <v>1.123495257835</v>
      </c>
      <c r="J51" s="31">
        <f t="shared" si="6"/>
        <v>1.08231709918211</v>
      </c>
      <c r="K51" s="31">
        <f t="shared" si="3"/>
        <v>23</v>
      </c>
      <c r="L51" s="31">
        <f>IF(K51=" "," ",($L$26-$D$3*$F$12)*((K51/$F$12)-($C$18/(PI()))*SIN((PI()*K51)/$F$12))+$D$3*K51)</f>
        <v>1.11467677473111</v>
      </c>
      <c r="M51" s="31">
        <f t="shared" si="7"/>
        <v>1.07839132044704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1.22894504832584</v>
      </c>
      <c r="C52" s="31">
        <f t="shared" si="4"/>
        <v>1.07422253806363</v>
      </c>
      <c r="D52" s="31">
        <f t="shared" si="1"/>
        <v>24</v>
      </c>
      <c r="E52" s="31">
        <f>IF(D52=" "," ",($E$26-$B$3*($F$8))*((D52/($F$8))-($C$18/(PI()))*SIN((PI()*D52)/($F$8)))+$B$3*D52)</f>
        <v>1.22894504832584</v>
      </c>
      <c r="F52" s="31">
        <f t="shared" si="5"/>
        <v>1.07422253806363</v>
      </c>
      <c r="G52" s="31"/>
      <c r="H52" s="31">
        <f t="shared" si="2"/>
        <v>24</v>
      </c>
      <c r="I52" s="31">
        <f>IF(H52=" "," ",($I$26-$D$3*$F$13)*((H52/$F$13)-($C$18/(PI()))*SIN((PI()*H52)/$F$13))+$D$3*H52)</f>
        <v>1.25625590888622</v>
      </c>
      <c r="J52" s="31">
        <f t="shared" si="6"/>
        <v>1.07840712400374</v>
      </c>
      <c r="K52" s="31">
        <f t="shared" si="3"/>
        <v>24</v>
      </c>
      <c r="L52" s="31">
        <f>IF(K52=" "," ",($L$26-$D$3*$F$12)*((K52/$F$12)-($C$18/(PI()))*SIN((PI()*K52)/$F$12))+$D$3*K52)</f>
        <v>1.24378834480961</v>
      </c>
      <c r="M52" s="31">
        <f t="shared" si="7"/>
        <v>1.0742870600593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1.36533075502779</v>
      </c>
      <c r="C53" s="31">
        <f t="shared" si="4"/>
        <v>1.0703875954007</v>
      </c>
      <c r="D53" s="31">
        <f t="shared" si="1"/>
        <v>25</v>
      </c>
      <c r="E53" s="31">
        <f>IF(D53=" "," ",($E$26-$B$3*($F$8))*((D53/($F$8))-($C$18/(PI()))*SIN((PI()*D53)/($F$8)))+$B$3*D53)</f>
        <v>1.36533075502779</v>
      </c>
      <c r="F53" s="31">
        <f t="shared" si="5"/>
        <v>1.0703875954007</v>
      </c>
      <c r="G53" s="31"/>
      <c r="H53" s="31">
        <f t="shared" si="2"/>
        <v>25</v>
      </c>
      <c r="I53" s="31">
        <f>IF(H53=" "," ",($I$26-$D$3*$F$13)*((H53/$F$13)-($C$18/(PI()))*SIN((PI()*H53)/$F$13))+$D$3*H53)</f>
        <v>1.39894157612943</v>
      </c>
      <c r="J53" s="31">
        <f t="shared" si="6"/>
        <v>1.07475871889308</v>
      </c>
      <c r="K53" s="31">
        <f t="shared" si="3"/>
        <v>25</v>
      </c>
      <c r="L53" s="31">
        <f>IF(K53=" "," ",($L$26-$D$3*$F$12)*((K53/$F$12)-($C$18/(PI()))*SIN((PI()*K53)/$F$12))+$D$3*K53)</f>
        <v>1.38199512166337</v>
      </c>
      <c r="M53" s="31">
        <f t="shared" si="7"/>
        <v>1.07044455248838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1.51082526605043</v>
      </c>
      <c r="C54" s="31">
        <f t="shared" si="4"/>
        <v>1.06678708891824</v>
      </c>
      <c r="D54" s="31">
        <f t="shared" si="1"/>
        <v>26</v>
      </c>
      <c r="E54" s="31">
        <f>IF(D54=" "," ",($E$26-$B$3*($F$8))*((D54/($F$8))-($C$18/(PI()))*SIN((PI()*D54)/($F$8)))+$B$3*D54)</f>
        <v>1.51082526605043</v>
      </c>
      <c r="F54" s="31">
        <f t="shared" si="5"/>
        <v>1.06678708891824</v>
      </c>
      <c r="G54" s="31"/>
      <c r="H54" s="31">
        <f t="shared" si="2"/>
        <v>26</v>
      </c>
      <c r="I54" s="31">
        <f>IF(H54=" "," ",($I$26-$D$3*$F$13)*((H54/$F$13)-($C$18/(PI()))*SIN((PI()*H54)/$F$13))+$D$3*H54)</f>
        <v>1.55180731191667</v>
      </c>
      <c r="J54" s="31">
        <f t="shared" si="6"/>
        <v>1.07134611864465</v>
      </c>
      <c r="K54" s="31">
        <f t="shared" si="3"/>
        <v>26</v>
      </c>
      <c r="L54" s="31">
        <f>IF(K54=" "," ",($L$26-$D$3*$F$12)*((K54/$F$12)-($C$18/(PI()))*SIN((PI()*K54)/$F$12))+$D$3*K54)</f>
        <v>1.52943930446422</v>
      </c>
      <c r="M54" s="31">
        <f t="shared" si="7"/>
        <v>1.06683757596689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1.66554383429292</v>
      </c>
      <c r="C55" s="31">
        <f t="shared" si="4"/>
        <v>1.06339797395121</v>
      </c>
      <c r="D55" s="31">
        <f t="shared" si="1"/>
        <v>27</v>
      </c>
      <c r="E55" s="31">
        <f>IF(D55=" "," ",($E$26-$B$3*($F$8))*((D55/($F$8))-($C$18/(PI()))*SIN((PI()*D55)/($F$8)))+$B$3*D55)</f>
        <v>1.66554383429292</v>
      </c>
      <c r="F55" s="31">
        <f t="shared" si="5"/>
        <v>1.06339797395121</v>
      </c>
      <c r="G55" s="31"/>
      <c r="H55" s="31">
        <f t="shared" si="2"/>
        <v>27</v>
      </c>
      <c r="I55" s="31">
        <f>IF(H55=" "," ",($I$26-$D$3*$F$13)*((H55/$F$13)-($C$18/(PI()))*SIN((PI()*H55)/$F$13))+$D$3*H55)</f>
        <v>1.71509030930052</v>
      </c>
      <c r="J55" s="31">
        <f t="shared" si="6"/>
        <v>1.0681464786269</v>
      </c>
      <c r="K55" s="31">
        <f t="shared" si="3"/>
        <v>27</v>
      </c>
      <c r="L55" s="31">
        <f>IF(K55=" "," ",($L$26-$D$3*$F$12)*((K55/$F$12)-($C$18/(PI()))*SIN((PI()*K55)/$F$12))+$D$3*K55)</f>
        <v>1.68623777329641</v>
      </c>
      <c r="M55" s="31">
        <f t="shared" si="7"/>
        <v>1.0634428965161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1.82957643015477</v>
      </c>
      <c r="C56" s="31">
        <f t="shared" si="4"/>
        <v>1.06019980487896</v>
      </c>
      <c r="D56" s="31">
        <f t="shared" si="1"/>
        <v>28</v>
      </c>
      <c r="E56" s="31">
        <f>IF(D56=" "," ",($E$26-$B$3*($F$8))*((D56/($F$8))-($C$18/(PI()))*SIN((PI()*D56)/($F$8)))+$B$3*D56)</f>
        <v>1.82957643015477</v>
      </c>
      <c r="F56" s="31">
        <f t="shared" si="5"/>
        <v>1.06019980487896</v>
      </c>
      <c r="G56" s="31"/>
      <c r="H56" s="31">
        <f t="shared" si="2"/>
        <v>28</v>
      </c>
      <c r="I56" s="31">
        <f>IF(H56=" "," ",($I$26-$D$3*$F$13)*((H56/$F$13)-($C$18/(PI()))*SIN((PI()*H56)/$F$13))+$D$3*H56)</f>
        <v>1.88900948591691</v>
      </c>
      <c r="J56" s="31">
        <f t="shared" si="6"/>
        <v>1.06513953934558</v>
      </c>
      <c r="K56" s="31">
        <f t="shared" si="3"/>
        <v>28</v>
      </c>
      <c r="L56" s="31">
        <f>IF(K56=" "," ",($L$26-$D$3*$F$12)*((K56/$F$12)-($C$18/(PI()))*SIN((PI()*K56)/$F$12))+$D$3*K56)</f>
        <v>1.85248176879637</v>
      </c>
      <c r="M56" s="31">
        <f t="shared" si="7"/>
        <v>1.06023991648717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2.00298749493316</v>
      </c>
      <c r="C57" s="31">
        <f t="shared" si="4"/>
        <v>1.0571744223596</v>
      </c>
      <c r="D57" s="31">
        <f t="shared" si="1"/>
        <v>29</v>
      </c>
      <c r="E57" s="31">
        <f>IF(D57=" "," ",($E$26-$B$3*($F$8))*((D57/($F$8))-($C$18/(PI()))*SIN((PI()*D57)/($F$8)))+$B$3*D57)</f>
        <v>2.00298749493316</v>
      </c>
      <c r="F57" s="31">
        <f t="shared" si="5"/>
        <v>1.0571744223596</v>
      </c>
      <c r="G57" s="31"/>
      <c r="H57" s="31">
        <f t="shared" si="2"/>
        <v>29</v>
      </c>
      <c r="I57" s="31">
        <f>IF(H57=" "," ",($I$26-$D$3*$F$13)*((H57/$F$13)-($C$18/(PI()))*SIN((PI()*H57)/$F$13))+$D$3*H57)</f>
        <v>2.07376509992922</v>
      </c>
      <c r="J57" s="31">
        <f t="shared" si="6"/>
        <v>1.06230731772503</v>
      </c>
      <c r="K57" s="31">
        <f t="shared" si="3"/>
        <v>29</v>
      </c>
      <c r="L57" s="31">
        <f>IF(K57=" "," ",($L$26-$D$3*$F$12)*((K57/$F$12)-($C$18/(PI()))*SIN((PI()*K57)/$F$12))+$D$3*K57)</f>
        <v>2.02823664206847</v>
      </c>
      <c r="M57" s="31">
        <f t="shared" si="7"/>
        <v>1.05721035363441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2.18581576419388</v>
      </c>
      <c r="C58" s="31">
        <f t="shared" si="4"/>
        <v>1.05430567244581</v>
      </c>
      <c r="D58" s="31">
        <f t="shared" si="1"/>
        <v>30</v>
      </c>
      <c r="E58" s="31">
        <f>IF(D58=" "," ",($E$26-$B$3*($F$8))*((D58/($F$8))-($C$18/(PI()))*SIN((PI()*D58)/($F$8)))+$B$3*D58)</f>
        <v>2.18581576419388</v>
      </c>
      <c r="F58" s="31">
        <f t="shared" si="5"/>
        <v>1.05430567244581</v>
      </c>
      <c r="G58" s="31"/>
      <c r="H58" s="31">
        <f t="shared" si="2"/>
        <v>30</v>
      </c>
      <c r="I58" s="31">
        <f>IF(H58=" "," ",($I$26-$D$3*$F$13)*((H58/$F$13)-($C$18/(PI()))*SIN((PI()*H58)/$F$13))+$D$3*H58)</f>
        <v>2.26953839870738</v>
      </c>
      <c r="J58" s="31">
        <f t="shared" si="6"/>
        <v>1.05963382939534</v>
      </c>
      <c r="K58" s="31">
        <f t="shared" si="3"/>
        <v>30</v>
      </c>
      <c r="L58" s="31">
        <f>IF(K58=" "," ",($L$26-$D$3*$F$12)*((K58/$F$12)-($C$18/(PI()))*SIN((PI()*K58)/$F$12))+$D$3*K58)</f>
        <v>2.21354167556223</v>
      </c>
      <c r="M58" s="31">
        <f t="shared" si="7"/>
        <v>1.05433795401433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2.37807416159982</v>
      </c>
      <c r="C59" s="31">
        <f t="shared" si="4"/>
        <v>1.05157915777112</v>
      </c>
      <c r="D59" s="31">
        <f t="shared" si="1"/>
        <v>31</v>
      </c>
      <c r="E59" s="31">
        <f>IF(D59=" "," ",($E$26-$B$3*($F$8))*((D59/($F$8))-($C$18/(PI()))*SIN((PI()*D59)/($F$8)))+$B$3*D59)</f>
        <v>2.37807416159982</v>
      </c>
      <c r="F59" s="31">
        <f t="shared" si="5"/>
        <v>1.05157915777112</v>
      </c>
      <c r="G59" s="31"/>
      <c r="H59" s="31">
        <f t="shared" si="2"/>
        <v>31</v>
      </c>
      <c r="I59" s="31">
        <f>IF(H59=" "," ",($I$26-$D$3*$F$13)*((H59/$F$13)-($C$18/(PI()))*SIN((PI()*H59)/$F$13))+$D$3*H59)</f>
        <v>2.47649130085838</v>
      </c>
      <c r="J59" s="31">
        <f t="shared" si="6"/>
        <v>1.05710484239999</v>
      </c>
      <c r="K59" s="31">
        <f t="shared" si="3"/>
        <v>31</v>
      </c>
      <c r="L59" s="31">
        <f>IF(K59=" "," ",($L$26-$D$3*$F$12)*((K59/$F$12)-($C$18/(PI()))*SIN((PI()*K59)/$F$12))+$D$3*K59)</f>
        <v>2.40840997540181</v>
      </c>
      <c r="M59" s="31">
        <f t="shared" si="7"/>
        <v>1.05160823840296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2.5797497634881</v>
      </c>
      <c r="C60" s="31">
        <f t="shared" si="4"/>
        <v>1.04898201903997</v>
      </c>
      <c r="D60" s="31">
        <f t="shared" si="1"/>
        <v>32</v>
      </c>
      <c r="E60" s="31">
        <f>IF(D60=" "," ",($E$26-$B$3*($F$8))*((D60/($F$8))-($C$18/(PI()))*SIN((PI()*D60)/($F$8)))+$B$3*D60)</f>
        <v>2.5797497634881</v>
      </c>
      <c r="F60" s="31">
        <f t="shared" si="5"/>
        <v>1.04898201903997</v>
      </c>
      <c r="G60" s="31"/>
      <c r="H60" s="31">
        <f t="shared" si="2"/>
        <v>32</v>
      </c>
      <c r="I60" s="31">
        <f>IF(H60=" "," ",($I$26-$D$3*$F$13)*((H60/$F$13)-($C$18/(PI()))*SIN((PI()*H60)/$F$13))+$D$3*H60)</f>
        <v>2.69476611216609</v>
      </c>
      <c r="J60" s="31">
        <f t="shared" si="6"/>
        <v>1.05470766072387</v>
      </c>
      <c r="K60" s="31">
        <f t="shared" si="3"/>
        <v>32</v>
      </c>
      <c r="L60" s="31">
        <f>IF(K60=" "," ",($L$26-$D$3*$F$12)*((K60/$F$12)-($C$18/(PI()))*SIN((PI()*K60)/$F$12))+$D$3*K60)</f>
        <v>2.61282843546303</v>
      </c>
      <c r="M60" s="31">
        <f t="shared" si="7"/>
        <v>1.04900828010258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2.79080383429292</v>
      </c>
      <c r="C61" s="31">
        <f t="shared" si="4"/>
        <v>1.04650274415318</v>
      </c>
      <c r="D61" s="31">
        <f t="shared" si="1"/>
        <v>33</v>
      </c>
      <c r="E61" s="31">
        <f>IF(D61=" "," ",($E$26-$B$3*($F$8))*((D61/($F$8))-($C$18/(PI()))*SIN((PI()*D61)/($F$8)))+$B$3*D61)</f>
        <v>2.79080383429292</v>
      </c>
      <c r="F61" s="31">
        <f t="shared" si="5"/>
        <v>1.04650274415318</v>
      </c>
      <c r="G61" s="31"/>
      <c r="H61" s="31">
        <f t="shared" si="2"/>
        <v>33</v>
      </c>
      <c r="I61" s="31">
        <f>IF(H61=" "," ",($I$26-$D$3*$F$13)*((H61/$F$13)-($C$18/(PI()))*SIN((PI()*H61)/$F$13))+$D$3*H61)</f>
        <v>2.92448527593845</v>
      </c>
      <c r="J61" s="31">
        <f t="shared" si="6"/>
        <v>1.05243093509554</v>
      </c>
      <c r="K61" s="31">
        <f t="shared" si="3"/>
        <v>33</v>
      </c>
      <c r="L61" s="31">
        <f>IF(K61=" "," ",($L$26-$D$3*$F$12)*((K61/$F$12)-($C$18/(PI()))*SIN((PI()*K61)/$F$12))+$D$3*K61)</f>
        <v>2.82675777329641</v>
      </c>
      <c r="M61" s="31">
        <f t="shared" si="7"/>
        <v>1.04652651120306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3.01117193271709</v>
      </c>
      <c r="C62" s="31">
        <f t="shared" si="4"/>
        <v>1.04413100199314</v>
      </c>
      <c r="D62" s="31">
        <f t="shared" si="1"/>
        <v>34</v>
      </c>
      <c r="E62" s="31">
        <f>IF(D62=" "," ",($E$26-$B$3*($F$8))*((D62/($F$8))-($C$18/(PI()))*SIN((PI()*D62)/($F$8)))+$B$3*D62)</f>
        <v>3.01117193271709</v>
      </c>
      <c r="F62" s="31">
        <f t="shared" si="5"/>
        <v>1.04413100199314</v>
      </c>
      <c r="G62" s="31"/>
      <c r="H62" s="31">
        <f t="shared" si="2"/>
        <v>34</v>
      </c>
      <c r="I62" s="31">
        <f>IF(H62=" "," ",($I$26-$D$3*$F$13)*((H62/$F$13)-($C$18/(PI()))*SIN((PI()*H62)/$F$13))+$D$3*H62)</f>
        <v>3.16575115820042</v>
      </c>
      <c r="J62" s="31">
        <f t="shared" si="6"/>
        <v>1.05026449818108</v>
      </c>
      <c r="K62" s="31">
        <f t="shared" si="3"/>
        <v>34</v>
      </c>
      <c r="L62" s="31">
        <f>IF(K62=" "," ",($L$26-$D$3*$F$12)*((K62/$F$12)-($C$18/(PI()))*SIN((PI()*K62)/$F$12))+$D$3*K62)</f>
        <v>3.05013263779755</v>
      </c>
      <c r="M62" s="31">
        <f t="shared" si="7"/>
        <v>1.0441525541257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3.24076408836113</v>
      </c>
      <c r="C63" s="31">
        <f t="shared" si="4"/>
        <v>1.0418574979129</v>
      </c>
      <c r="D63" s="31">
        <f t="shared" si="1"/>
        <v>35</v>
      </c>
      <c r="E63" s="31">
        <f>IF(D63=" "," ",($E$26-$B$3*($F$8))*((D63/($F$8))-($C$18/(PI()))*SIN((PI()*D63)/($F$8)))+$B$3*D63)</f>
        <v>3.24076408836113</v>
      </c>
      <c r="F63" s="31">
        <f t="shared" si="5"/>
        <v>1.0418574979129</v>
      </c>
      <c r="G63" s="31"/>
      <c r="H63" s="31">
        <f t="shared" si="2"/>
        <v>35</v>
      </c>
      <c r="I63" s="31">
        <f>IF(H63=" "," ",($I$26-$D$3*$F$13)*((H63/$F$13)-($C$18/(PI()))*SIN((PI()*H63)/$F$13))+$D$3*H63)</f>
        <v>3.41864586810908</v>
      </c>
      <c r="J63" s="31">
        <f t="shared" si="6"/>
        <v>1.048199221281</v>
      </c>
      <c r="K63" s="31">
        <f t="shared" si="3"/>
        <v>35</v>
      </c>
      <c r="L63" s="31">
        <f>IF(K63=" "," ",($L$26-$D$3*$F$12)*((K63/$F$12)-($C$18/(PI()))*SIN((PI()*K63)/$F$12))+$D$3*K63)</f>
        <v>3.28286178833003</v>
      </c>
      <c r="M63" s="31">
        <f t="shared" si="7"/>
        <v>1.04187707534699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3.47946504832584</v>
      </c>
      <c r="C64" s="31">
        <f t="shared" si="4"/>
        <v>1.03967384815534</v>
      </c>
      <c r="D64" s="31">
        <f t="shared" si="1"/>
        <v>36</v>
      </c>
      <c r="E64" s="31">
        <f>IF(D64=" "," ",($E$26-$B$3*($F$8))*((D64/($F$8))-($C$18/(PI()))*SIN((PI()*D64)/($F$8)))+$B$3*D64)</f>
        <v>3.47946504832584</v>
      </c>
      <c r="F64" s="31">
        <f t="shared" si="5"/>
        <v>1.03967384815534</v>
      </c>
      <c r="G64" s="31"/>
      <c r="H64" s="31">
        <f t="shared" si="2"/>
        <v>36</v>
      </c>
      <c r="I64" s="31">
        <f>IF(H64=" "," ",($I$26-$D$3*$F$13)*((H64/$F$13)-($C$18/(PI()))*SIN((PI()*H64)/$F$13))+$D$3*H64)</f>
        <v>3.68323111390635</v>
      </c>
      <c r="J64" s="31">
        <f t="shared" si="6"/>
        <v>1.04622688981047</v>
      </c>
      <c r="K64" s="31">
        <f t="shared" si="3"/>
        <v>36</v>
      </c>
      <c r="L64" s="31">
        <f>IF(K64=" "," ",($L$26-$D$3*$F$12)*((K64/$F$12)-($C$18/(PI()))*SIN((PI()*K64)/$F$12))+$D$3*K64)</f>
        <v>3.52482834480961</v>
      </c>
      <c r="M64" s="31">
        <f t="shared" si="7"/>
        <v>1.03969165841909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3.72713459311256</v>
      </c>
      <c r="C65" s="31">
        <f t="shared" si="4"/>
        <v>1.03757247069025</v>
      </c>
      <c r="D65" s="31">
        <f t="shared" si="1"/>
        <v>37</v>
      </c>
      <c r="E65" s="31">
        <f>IF(D65=" "," ",($E$26-$B$3*($F$8))*((D65/($F$8))-($C$18/(PI()))*SIN((PI()*D65)/($F$8)))+$B$3*D65)</f>
        <v>3.72713459311256</v>
      </c>
      <c r="F65" s="31">
        <f t="shared" si="5"/>
        <v>1.03757247069025</v>
      </c>
      <c r="G65" s="31"/>
      <c r="H65" s="31">
        <f t="shared" si="2"/>
        <v>37</v>
      </c>
      <c r="I65" s="31">
        <f>IF(H65=" "," ",($I$26-$D$3*$F$13)*((H65/$F$13)-($C$18/(PI()))*SIN((PI()*H65)/$F$13))+$D$3*H65)</f>
        <v>3.9595480946617</v>
      </c>
      <c r="J65" s="31">
        <f t="shared" si="6"/>
        <v>1.0443400950901</v>
      </c>
      <c r="K65" s="31">
        <f t="shared" si="3"/>
        <v>37</v>
      </c>
      <c r="L65" s="31">
        <f>IF(K65=" "," ",($L$26-$D$3*$F$12)*((K65/$F$12)-($C$18/(PI()))*SIN((PI()*K65)/$F$12))+$D$3*K65)</f>
        <v>3.77589010806444</v>
      </c>
      <c r="M65" s="31">
        <f t="shared" si="7"/>
        <v>1.03758869369215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3.98360792095501</v>
      </c>
      <c r="C66" s="31">
        <f t="shared" si="4"/>
        <v>1.03554649023688</v>
      </c>
      <c r="D66" s="31">
        <f t="shared" si="1"/>
        <v>38</v>
      </c>
      <c r="E66" s="31">
        <f>IF(D66=" "," ",($E$26-$B$3*($F$8))*((D66/($F$8))-($C$18/(PI()))*SIN((PI()*D66)/($F$8)))+$B$3*D66)</f>
        <v>3.98360792095501</v>
      </c>
      <c r="F66" s="31">
        <f t="shared" si="5"/>
        <v>1.03554649023688</v>
      </c>
      <c r="G66" s="31"/>
      <c r="H66" s="31">
        <f t="shared" si="2"/>
        <v>38</v>
      </c>
      <c r="I66" s="31">
        <f>IF(H66=" "," ",($I$26-$D$3*$F$13)*((H66/$F$13)-($C$18/(PI()))*SIN((PI()*H66)/$F$13))+$D$3*H66)</f>
        <v>4.24761742799503</v>
      </c>
      <c r="J66" s="31">
        <f t="shared" si="6"/>
        <v>1.04253214024653</v>
      </c>
      <c r="K66" s="31">
        <f t="shared" si="3"/>
        <v>38</v>
      </c>
      <c r="L66" s="31">
        <f>IF(K66=" "," ",($L$26-$D$3*$F$12)*((K66/$F$12)-($C$18/(PI()))*SIN((PI()*K66)/$F$12))+$D$3*K66)</f>
        <v>4.03587994959311</v>
      </c>
      <c r="M66" s="31">
        <f t="shared" si="7"/>
        <v>1.03556128244334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4.24869609952952</v>
      </c>
      <c r="C67" s="31">
        <f t="shared" si="4"/>
        <v>1.03358965551905</v>
      </c>
      <c r="D67" s="31">
        <f t="shared" si="1"/>
        <v>39</v>
      </c>
      <c r="E67" s="31">
        <f>IF(D67=" "," ",($E$26-$B$3*($F$8))*((D67/($F$8))-($C$18/(PI()))*SIN((PI()*D67)/($F$8)))+$B$3*D67)</f>
        <v>4.24869609952952</v>
      </c>
      <c r="F67" s="31">
        <f t="shared" si="5"/>
        <v>1.03358965551905</v>
      </c>
      <c r="G67" s="31"/>
      <c r="H67" s="31">
        <f t="shared" si="2"/>
        <v>39</v>
      </c>
      <c r="I67" s="31">
        <f>IF(H67=" "," ",($I$26-$D$3*$F$13)*((H67/$F$13)-($C$18/(PI()))*SIN((PI()*H67)/$F$13))+$D$3*H67)</f>
        <v>4.54743911390635</v>
      </c>
      <c r="J67" s="31">
        <f t="shared" si="6"/>
        <v>1.0407969582947</v>
      </c>
      <c r="K67" s="31">
        <f t="shared" si="3"/>
        <v>39</v>
      </c>
      <c r="L67" s="31">
        <f>IF(K67=" "," ",($L$26-$D$3*$F$12)*((K67/$F$12)-($C$18/(PI()))*SIN((PI()*K67)/$F$12))+$D$3*K67)</f>
        <v>4.30460626965221</v>
      </c>
      <c r="M67" s="31">
        <f t="shared" si="7"/>
        <v>1.03360315341199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4.52218658380534</v>
      </c>
      <c r="C68" s="31">
        <f t="shared" si="4"/>
        <v>1.03169626705537</v>
      </c>
      <c r="D68" s="31">
        <f t="shared" si="1"/>
        <v>40</v>
      </c>
      <c r="E68" s="31">
        <f>IF(D68=" "," ",($E$26-$B$3*($F$8))*((D68/($F$8))-($C$18/(PI()))*SIN((PI()*D68)/($F$8)))+$B$3*D68)</f>
        <v>4.52218658380534</v>
      </c>
      <c r="F68" s="31">
        <f t="shared" si="5"/>
        <v>1.03169626705537</v>
      </c>
      <c r="G68" s="31"/>
      <c r="H68" s="31">
        <f t="shared" si="2"/>
        <v>40</v>
      </c>
      <c r="I68" s="31">
        <f>IF(H68=" "," ",($I$26-$D$3*$F$13)*((H68/$F$13)-($C$18/(PI()))*SIN((PI()*H68)/$F$13))+$D$3*H68)</f>
        <v>4.85899253477575</v>
      </c>
      <c r="J68" s="31">
        <f t="shared" si="6"/>
        <v>1.03912904072441</v>
      </c>
      <c r="K68" s="31">
        <f t="shared" si="3"/>
        <v>40</v>
      </c>
      <c r="L68" s="31">
        <f>IF(K68=" "," ",($L$26-$D$3*$F$12)*((K68/$F$12)-($C$18/(PI()))*SIN((PI()*K68)/$F$12))+$D$3*K68)</f>
        <v>4.58185352241799</v>
      </c>
      <c r="M68" s="31">
        <f t="shared" si="7"/>
        <v>1.03170859000635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4.80384379861587</v>
      </c>
      <c r="C69" s="31">
        <f t="shared" si="4"/>
        <v>1.0298611140213</v>
      </c>
      <c r="D69" s="31">
        <f t="shared" si="1"/>
        <v>41</v>
      </c>
      <c r="E69" s="31">
        <f>IF(D69=" "," ",($E$26-$B$3*($F$8))*((D69/($F$8))-($C$18/(PI()))*SIN((PI()*D69)/($F$8)))+$B$3*D69)</f>
        <v>4.80384379861587</v>
      </c>
      <c r="F69" s="31">
        <f t="shared" si="5"/>
        <v>1.0298611140213</v>
      </c>
      <c r="G69" s="31"/>
      <c r="H69" s="31">
        <f t="shared" si="2"/>
        <v>41</v>
      </c>
      <c r="I69" s="31">
        <f>IF(H69=" "," ",($I$26-$D$3*$F$13)*((H69/$F$13)-($C$18/(PI()))*SIN((PI()*H69)/$F$13))+$D$3*H69)</f>
        <v>5.18223649153375</v>
      </c>
      <c r="J69" s="31">
        <f t="shared" si="6"/>
        <v>1.03752337514375</v>
      </c>
      <c r="K69" s="31">
        <f t="shared" si="3"/>
        <v>41</v>
      </c>
      <c r="L69" s="31">
        <f>IF(K69=" "," ",($L$26-$D$3*$F$12)*((K69/$F$12)-($C$18/(PI()))*SIN((PI()*K69)/$F$12))+$D$3*K69)</f>
        <v>4.8673828067824</v>
      </c>
      <c r="M69" s="31">
        <f t="shared" si="7"/>
        <v>1.02987236669078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5.09340978435374</v>
      </c>
      <c r="C70" s="31">
        <f t="shared" si="4"/>
        <v>1.02807941892299</v>
      </c>
      <c r="D70" s="31">
        <f t="shared" si="1"/>
        <v>42</v>
      </c>
      <c r="E70" s="31">
        <f>IF(D70=" "," ",($E$26-$B$3*($F$8))*((D70/($F$8))-($C$18/(PI()))*SIN((PI()*D70)/($F$8)))+$B$3*D70)</f>
        <v>5.09340978435374</v>
      </c>
      <c r="F70" s="31">
        <f t="shared" si="5"/>
        <v>1.02807941892299</v>
      </c>
      <c r="G70" s="31"/>
      <c r="H70" s="31">
        <f t="shared" si="2"/>
        <v>42</v>
      </c>
      <c r="I70" s="31">
        <f>IF(H70=" "," ",($I$26-$D$3*$F$13)*((H70/$F$13)-($C$18/(PI()))*SIN((PI()*H70)/$F$13))+$D$3*H70)</f>
        <v>5.51710927593845</v>
      </c>
      <c r="J70" s="31">
        <f t="shared" si="6"/>
        <v>1.03597539073377</v>
      </c>
      <c r="K70" s="31">
        <f t="shared" si="3"/>
        <v>42</v>
      </c>
      <c r="L70" s="31">
        <f>IF(K70=" "," ",($L$26-$D$3*$F$12)*((K70/$F$12)-($C$18/(PI()))*SIN((PI()*K70)/$F$12))+$D$3*K70)</f>
        <v>5.16093252116447</v>
      </c>
      <c r="M70" s="31">
        <f t="shared" si="7"/>
        <v>1.0280896932709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5.39060490402023</v>
      </c>
      <c r="C71" s="31">
        <f t="shared" si="4"/>
        <v>1.02634678900277</v>
      </c>
      <c r="D71" s="31">
        <f t="shared" si="1"/>
        <v>43</v>
      </c>
      <c r="E71" s="31">
        <f>IF(D71=" "," ",($E$26-$B$3*($F$8))*((D71/($F$8))-($C$18/(PI()))*SIN((PI()*D71)/($F$8)))+$B$3*D71)</f>
        <v>5.39060490402023</v>
      </c>
      <c r="F71" s="31">
        <f t="shared" si="5"/>
        <v>1.02634678900277</v>
      </c>
      <c r="G71" s="31"/>
      <c r="H71" s="31">
        <f t="shared" si="2"/>
        <v>43</v>
      </c>
      <c r="I71" s="31">
        <f>IF(H71=" "," ",($I$26-$D$3*$F$13)*((H71/$F$13)-($C$18/(PI()))*SIN((PI()*H71)/$F$13))+$D$3*H71)</f>
        <v>5.86352877883275</v>
      </c>
      <c r="J71" s="31">
        <f t="shared" si="6"/>
        <v>1.03448091044521</v>
      </c>
      <c r="K71" s="31">
        <f t="shared" si="3"/>
        <v>43</v>
      </c>
      <c r="L71" s="31">
        <f>IF(K71=" "," ",($L$26-$D$3*$F$12)*((K71/$F$12)-($C$18/(PI()))*SIN((PI()*K71)/$F$12))+$D$3*K71)</f>
        <v>5.46221908054203</v>
      </c>
      <c r="M71" s="31">
        <f t="shared" si="7"/>
        <v>1.02635616597953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5.6951286096908</v>
      </c>
      <c r="C72" s="31">
        <f t="shared" si="4"/>
        <v>1.02465917344908</v>
      </c>
      <c r="D72" s="31">
        <f t="shared" si="1"/>
        <v>44</v>
      </c>
      <c r="E72" s="31">
        <f>IF(D72=" "," ",($E$26-$B$3*($F$8))*((D72/($F$8))-($C$18/(PI()))*SIN((PI()*D72)/($F$8)))+$B$3*D72)</f>
        <v>5.6951286096908</v>
      </c>
      <c r="F72" s="31">
        <f t="shared" si="5"/>
        <v>1.02465917344908</v>
      </c>
      <c r="G72" s="31"/>
      <c r="H72" s="31">
        <f t="shared" si="2"/>
        <v>44</v>
      </c>
      <c r="I72" s="31">
        <f>IF(H72=" "," ",($I$26-$D$3*$F$13)*((H72/$F$13)-($C$18/(PI()))*SIN((PI()*H72)/$F$13))+$D$3*H72)</f>
        <v>6.22139263419172</v>
      </c>
      <c r="J72" s="31">
        <f t="shared" si="6"/>
        <v>1.03303610902115</v>
      </c>
      <c r="K72" s="31">
        <f t="shared" si="3"/>
        <v>44</v>
      </c>
      <c r="L72" s="31">
        <f>IF(K72=" "," ",($L$26-$D$3*$F$12)*((K72/$F$12)-($C$18/(PI()))*SIN((PI()*K72)/$F$12))+$D$3*K72)</f>
        <v>5.77093769373858</v>
      </c>
      <c r="M72" s="31">
        <f t="shared" si="7"/>
        <v>1.02466772442269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6.00666026629608</v>
      </c>
      <c r="C73" s="31">
        <f t="shared" si="4"/>
        <v>1.02301282561658</v>
      </c>
      <c r="D73" s="31">
        <f t="shared" si="1"/>
        <v>45</v>
      </c>
      <c r="E73" s="31">
        <f>IF(D73=" "," ",($E$26-$B$3*($F$8))*((D73/($F$8))-($C$18/(PI()))*SIN((PI()*D73)/($F$8)))+$B$3*D73)</f>
        <v>6.00666026629608</v>
      </c>
      <c r="F73" s="31">
        <f t="shared" si="5"/>
        <v>1.02301282561658</v>
      </c>
      <c r="G73" s="31"/>
      <c r="H73" s="31">
        <f t="shared" si="2"/>
        <v>45</v>
      </c>
      <c r="I73" s="31">
        <f>IF(H73=" "," ",($I$26-$D$3*$F$13)*((H73/$F$13)-($C$18/(PI()))*SIN((PI()*H73)/$F$13))+$D$3*H73)</f>
        <v>6.59057839870738</v>
      </c>
      <c r="J73" s="31">
        <f t="shared" si="6"/>
        <v>1.0316374760601</v>
      </c>
      <c r="K73" s="31">
        <f t="shared" si="3"/>
        <v>45</v>
      </c>
      <c r="L73" s="31">
        <f>IF(K73=" "," ",($L$26-$D$3*$F$12)*((K73/$F$12)-($C$18/(PI()))*SIN((PI()*K73)/$F$12))+$D$3*K73)</f>
        <v>6.08676319883468</v>
      </c>
      <c r="M73" s="31">
        <f t="shared" si="7"/>
        <v>1.02302061358066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6.32486003046029</v>
      </c>
      <c r="C74" s="31">
        <f t="shared" si="4"/>
        <v>1.0214042695744</v>
      </c>
      <c r="D74" s="31">
        <f t="shared" si="1"/>
        <v>46</v>
      </c>
      <c r="E74" s="31">
        <f>IF(D74=" "," ",($E$26-$B$3*($F$8))*((D74/($F$8))-($C$18/(PI()))*SIN((PI()*D74)/($F$8)))+$B$3*D74)</f>
        <v>6.32486003046029</v>
      </c>
      <c r="F74" s="31">
        <f t="shared" si="5"/>
        <v>1.0214042695744</v>
      </c>
      <c r="G74" s="31"/>
      <c r="H74" s="31">
        <f t="shared" si="2"/>
        <v>46</v>
      </c>
      <c r="I74" s="31">
        <f>IF(H74=" "," ",($I$26-$D$3*$F$13)*((H74/$F$13)-($C$18/(PI()))*SIN((PI()*H74)/$F$13))+$D$3*H74)</f>
        <v>6.97094376659589</v>
      </c>
      <c r="J74" s="31">
        <f t="shared" si="6"/>
        <v>1.03028178344721</v>
      </c>
      <c r="K74" s="31">
        <f t="shared" si="3"/>
        <v>46</v>
      </c>
      <c r="L74" s="31">
        <f>IF(K74=" "," ",($L$26-$D$3*$F$12)*((K74/$F$12)-($C$18/(PI()))*SIN((PI()*K74)/$F$12))+$D$3*K74)</f>
        <v>6.4093509544142</v>
      </c>
      <c r="M74" s="31">
        <f t="shared" si="7"/>
        <v>1.02141135017375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6.64936978198836</v>
      </c>
      <c r="C75" s="31">
        <f t="shared" si="4"/>
        <v>1.01983027039767</v>
      </c>
      <c r="D75" s="31">
        <f t="shared" si="1"/>
        <v>47</v>
      </c>
      <c r="E75" s="31">
        <f>IF(D75=" "," ",($E$26-$B$3*($F$8))*((D75/($F$8))-($C$18/(PI()))*SIN((PI()*D75)/($F$8)))+$B$3*D75)</f>
        <v>6.64936978198836</v>
      </c>
      <c r="F75" s="31">
        <f t="shared" si="5"/>
        <v>1.01983027039767</v>
      </c>
      <c r="G75" s="31"/>
      <c r="H75" s="31">
        <f t="shared" si="2"/>
        <v>47</v>
      </c>
      <c r="I75" s="31">
        <f>IF(H75=" "," ",($I$26-$D$3*$F$13)*((H75/$F$13)-($C$18/(PI()))*SIN((PI()*H75)/$F$13))+$D$3*H75)</f>
        <v>7.36232681925025</v>
      </c>
      <c r="J75" s="31">
        <f t="shared" si="6"/>
        <v>1.02896605657609</v>
      </c>
      <c r="K75" s="31">
        <f t="shared" si="3"/>
        <v>47</v>
      </c>
      <c r="L75" s="31">
        <f>IF(K75=" "," ",($L$26-$D$3*$F$12)*((K75/$F$12)-($C$18/(PI()))*SIN((PI()*K75)/$F$12))+$D$3*K75)</f>
        <v>6.73833778420247</v>
      </c>
      <c r="M75" s="31">
        <f t="shared" si="7"/>
        <v>1.01983669280085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6.97981410544842</v>
      </c>
      <c r="C76" s="31">
        <f t="shared" si="4"/>
        <v>1.01828780769778</v>
      </c>
      <c r="D76" s="31">
        <f t="shared" si="1"/>
        <v>48</v>
      </c>
      <c r="E76" s="31">
        <f>IF(D76=" "," ",($E$26-$B$3*($F$8))*((D76/($F$8))-($C$18/(PI()))*SIN((PI()*D76)/($F$8)))+$B$3*D76)</f>
        <v>6.97981410544842</v>
      </c>
      <c r="F76" s="31">
        <f t="shared" si="5"/>
        <v>1.01828780769778</v>
      </c>
      <c r="G76" s="31"/>
      <c r="H76" s="31">
        <f t="shared" si="2"/>
        <v>48</v>
      </c>
      <c r="I76" s="31">
        <f>IF(H76=" "," ",($I$26-$D$3*$F$13)*((H76/$F$13)-($C$18/(PI()))*SIN((PI()*H76)/$F$13))+$D$3*H76)</f>
        <v>7.76454630930052</v>
      </c>
      <c r="J76" s="31">
        <f t="shared" si="6"/>
        <v>1.02768754886656</v>
      </c>
      <c r="K76" s="31">
        <f t="shared" si="3"/>
        <v>48</v>
      </c>
      <c r="L76" s="31">
        <f>IF(K76=" "," ",($L$26-$D$3*$F$12)*((K76/$F$12)-($C$18/(PI()))*SIN((PI()*K76)/$F$12))+$D$3*K76)</f>
        <v>7.07334297250719</v>
      </c>
      <c r="M76" s="31">
        <f t="shared" si="7"/>
        <v>1.01829361534118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7.31580131915947</v>
      </c>
      <c r="C77" s="31">
        <f t="shared" si="4"/>
        <v>1.01677405195812</v>
      </c>
      <c r="D77" s="31">
        <f t="shared" si="1"/>
        <v>49</v>
      </c>
      <c r="E77" s="31">
        <f>IF(D77=" "," ",($E$26-$B$3*($F$8))*((D77/($F$8))-($C$18/(PI()))*SIN((PI()*D77)/($F$8)))+$B$3*D77)</f>
        <v>7.31580131915947</v>
      </c>
      <c r="F77" s="31">
        <f t="shared" si="5"/>
        <v>1.01677405195812</v>
      </c>
      <c r="G77" s="31"/>
      <c r="H77" s="31">
        <f t="shared" si="2"/>
        <v>49</v>
      </c>
      <c r="I77" s="31">
        <f>IF(H77=" "," ",($I$26-$D$3*$F$13)*((H77/$F$13)-($C$18/(PI()))*SIN((PI()*H77)/$F$13))+$D$3*H77)</f>
        <v>8.17740197858333</v>
      </c>
      <c r="J77" s="31">
        <f t="shared" si="6"/>
        <v>1.02644371915249</v>
      </c>
      <c r="K77" s="31">
        <f t="shared" si="3"/>
        <v>49</v>
      </c>
      <c r="L77" s="31">
        <f>IF(K77=" "," ",($L$26-$D$3*$F$12)*((K77/$F$12)-($C$18/(PI()))*SIN((PI()*K77)/$F$12))+$D$3*K77)</f>
        <v>7.41396930773373</v>
      </c>
      <c r="M77" s="31">
        <f t="shared" si="7"/>
        <v>1.01677928318143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7.65692454876361</v>
      </c>
      <c r="C78" s="31">
        <f t="shared" si="4"/>
        <v>1.01528634329965</v>
      </c>
      <c r="D78" s="31">
        <f t="shared" si="1"/>
        <v>50</v>
      </c>
      <c r="E78" s="31">
        <f>IF(D78=" "," ",($E$26-$B$3*($F$8))*((D78/($F$8))-($C$18/(PI()))*SIN((PI()*D78)/($F$8)))+$B$3*D78)</f>
        <v>7.65692454876361</v>
      </c>
      <c r="F78" s="31">
        <f t="shared" si="5"/>
        <v>1.01528634329965</v>
      </c>
      <c r="G78" s="31"/>
      <c r="H78" s="31">
        <f t="shared" si="2"/>
        <v>50</v>
      </c>
      <c r="I78" s="31">
        <f>IF(H78=" "," ",($I$26-$D$3*$F$13)*((H78/$F$13)-($C$18/(PI()))*SIN((PI()*H78)/$F$13))+$D$3*H78)</f>
        <v>8.60067490946276</v>
      </c>
      <c r="J78" s="31">
        <f t="shared" si="6"/>
        <v>1.02523221157338</v>
      </c>
      <c r="K78" s="31">
        <f t="shared" si="3"/>
        <v>50</v>
      </c>
      <c r="L78" s="31">
        <f>IF(K78=" "," ",($L$26-$D$3*$F$12)*((K78/$F$12)-($C$18/(PI()))*SIN((PI()*K78)/$F$12))+$D$3*K78)</f>
        <v>7.75980417111445</v>
      </c>
      <c r="M78" s="31">
        <f t="shared" si="7"/>
        <v>1.01529103188899</v>
      </c>
    </row>
    <row r="79" spans="1:13">
      <c r="A79" s="31">
        <f t="shared" si="0"/>
        <v>51</v>
      </c>
      <c r="B79" s="31">
        <f>IF(A79=" "," ",($B$26-$B$3*($F$9))*((A79/($F$9))-($C$18/(PI()))*SIN((PI()*A79)/($F$9)))+$B$3*A79)</f>
        <v>8.00276284244035</v>
      </c>
      <c r="C79" s="31">
        <f t="shared" si="4"/>
        <v>1.01382217235126</v>
      </c>
      <c r="D79" s="31">
        <f t="shared" si="1"/>
        <v>51</v>
      </c>
      <c r="E79" s="31">
        <f>IF(D79=" "," ",($E$26-$B$3*($F$8))*((D79/($F$8))-($C$18/(PI()))*SIN((PI()*D79)/($F$8)))+$B$3*D79)</f>
        <v>8.00276284244035</v>
      </c>
      <c r="F79" s="31">
        <f t="shared" si="5"/>
        <v>1.01382217235126</v>
      </c>
      <c r="G79" s="31"/>
      <c r="H79" s="31">
        <f t="shared" si="2"/>
        <v>51</v>
      </c>
      <c r="I79" s="31">
        <f>IF(H79=" "," ",($I$26-$D$3*$F$13)*((H79/$F$13)-($C$18/(PI()))*SIN((PI()*H79)/$F$13))+$D$3*H79)</f>
        <v>9.03412790888622</v>
      </c>
      <c r="J79" s="31">
        <f t="shared" si="6"/>
        <v>1.02405083765426</v>
      </c>
      <c r="K79" s="31">
        <f t="shared" si="3"/>
        <v>51</v>
      </c>
      <c r="L79" s="31">
        <f>IF(K79=" "," ",($L$26-$D$3*$F$12)*((K79/$F$12)-($C$18/(PI()))*SIN((PI()*K79)/$F$12))+$D$3*K79)</f>
        <v>8.11042066766807</v>
      </c>
      <c r="M79" s="31">
        <f t="shared" si="7"/>
        <v>1.01382634800368</v>
      </c>
    </row>
    <row r="80" spans="1:13">
      <c r="A80" s="31">
        <f t="shared" si="0"/>
        <v>52</v>
      </c>
      <c r="B80" s="31">
        <f>IF(A80=" "," ",($B$26-$B$3*($F$9))*((A80/($F$9))-($C$18/(PI()))*SIN((PI()*A80)/($F$9)))+$B$3*A80)</f>
        <v>8.35288232470634</v>
      </c>
      <c r="C80" s="31">
        <f t="shared" si="4"/>
        <v>1.01237916294272</v>
      </c>
      <c r="D80" s="31">
        <f t="shared" si="1"/>
        <v>52</v>
      </c>
      <c r="E80" s="31">
        <f>IF(D80=" "," ",($E$26-$B$3*($F$8))*((D80/($F$8))-($C$18/(PI()))*SIN((PI()*D80)/($F$8)))+$B$3*D80)</f>
        <v>8.35288232470634</v>
      </c>
      <c r="F80" s="31">
        <f t="shared" si="5"/>
        <v>1.01237916294272</v>
      </c>
      <c r="G80" s="31"/>
      <c r="H80" s="31">
        <f t="shared" si="2"/>
        <v>52</v>
      </c>
      <c r="I80" s="31">
        <f>IF(H80=" "," ",($I$26-$D$3*$F$13)*((H80/$F$13)-($C$18/(PI()))*SIN((PI()*H80)/$F$13))+$D$3*H80)</f>
        <v>9.47750592450167</v>
      </c>
      <c r="J80" s="31">
        <f t="shared" si="6"/>
        <v>1.02289756030112</v>
      </c>
      <c r="K80" s="31">
        <f t="shared" si="3"/>
        <v>52</v>
      </c>
      <c r="L80" s="31">
        <f>IF(K80=" "," ",($L$26-$D$3*$F$12)*((K80/$F$12)-($C$18/(PI()))*SIN((PI()*K80)/$F$12))+$D$3*K80)</f>
        <v>8.46537879628917</v>
      </c>
      <c r="M80" s="31">
        <f t="shared" si="7"/>
        <v>1.01238285166315</v>
      </c>
    </row>
    <row r="81" spans="1:13">
      <c r="A81" s="31">
        <f t="shared" si="0"/>
        <v>53</v>
      </c>
      <c r="B81" s="31">
        <f>IF(A81=" "," ",($B$26-$B$3*($F$9))*((A81/($F$9))-($C$18/(PI()))*SIN((PI()*A81)/($F$9)))+$B$3*A81)</f>
        <v>8.7068373856379</v>
      </c>
      <c r="C81" s="31">
        <f t="shared" si="4"/>
        <v>1.01095505637315</v>
      </c>
      <c r="D81" s="31">
        <f t="shared" si="1"/>
        <v>53</v>
      </c>
      <c r="E81" s="31">
        <f>IF(D81=" "," ",($E$26-$B$3*($F$8))*((D81/($F$8))-($C$18/(PI()))*SIN((PI()*D81)/($F$8)))+$B$3*D81)</f>
        <v>8.7068373856379</v>
      </c>
      <c r="F81" s="31">
        <f t="shared" si="5"/>
        <v>1.01095505637315</v>
      </c>
      <c r="G81" s="31"/>
      <c r="H81" s="31">
        <f t="shared" si="2"/>
        <v>53</v>
      </c>
      <c r="I81" s="31">
        <f>IF(H81=" "," ",($I$26-$D$3*$F$13)*((H81/$F$13)-($C$18/(PI()))*SIN((PI()*H81)/$F$13))+$D$3*H81)</f>
        <v>9.93053649210616</v>
      </c>
      <c r="J81" s="31">
        <f t="shared" si="6"/>
        <v>1.02177047947592</v>
      </c>
      <c r="K81" s="31">
        <f t="shared" si="3"/>
        <v>53</v>
      </c>
      <c r="L81" s="31">
        <f>IF(K81=" "," ",($L$26-$D$3*$F$12)*((K81/$F$12)-($C$18/(PI()))*SIN((PI()*K81)/$F$12))+$D$3*K81)</f>
        <v>8.82422665576061</v>
      </c>
      <c r="M81" s="31">
        <f t="shared" si="7"/>
        <v>1.01095828081313</v>
      </c>
    </row>
    <row r="82" spans="1:13">
      <c r="A82" s="31">
        <f t="shared" si="0"/>
        <v>54</v>
      </c>
      <c r="B82" s="31">
        <f>IF(A82=" "," ",($B$26-$B$3*($F$9))*((A82/($F$9))-($C$18/(PI()))*SIN((PI()*A82)/($F$9)))+$B$3*A82)</f>
        <v>9.0641719022568</v>
      </c>
      <c r="C82" s="31">
        <f t="shared" si="4"/>
        <v>1.00954769703944</v>
      </c>
      <c r="D82" s="31">
        <f t="shared" si="1"/>
        <v>54</v>
      </c>
      <c r="E82" s="31">
        <f>IF(D82=" "," ",($E$26-$B$3*($F$8))*((D82/($F$8))-($C$18/(PI()))*SIN((PI()*D82)/($F$8)))+$B$3*D82)</f>
        <v>9.0641719022568</v>
      </c>
      <c r="F82" s="31">
        <f t="shared" si="5"/>
        <v>1.00954769703944</v>
      </c>
      <c r="G82" s="31"/>
      <c r="H82" s="31">
        <f t="shared" si="2"/>
        <v>54</v>
      </c>
      <c r="I82" s="31">
        <f>IF(H82=" "," ",($I$26-$D$3*$F$13)*((H82/$F$13)-($C$18/(PI()))*SIN((PI()*H82)/$F$13))+$D$3*H82)</f>
        <v>10.3929302136406</v>
      </c>
      <c r="J82" s="31">
        <f t="shared" si="6"/>
        <v>1.020667819347</v>
      </c>
      <c r="K82" s="31">
        <f t="shared" si="3"/>
        <v>54</v>
      </c>
      <c r="L82" s="31">
        <f>IF(K82=" "," ",($L$26-$D$3*$F$12)*((K82/$F$12)-($C$18/(PI()))*SIN((PI()*K82)/$F$12))+$D$3*K82)</f>
        <v>9.18650168338335</v>
      </c>
      <c r="M82" s="31">
        <f t="shared" si="7"/>
        <v>1.00955047678522</v>
      </c>
    </row>
    <row r="83" spans="1:13">
      <c r="A83" s="31">
        <f t="shared" si="0"/>
        <v>55</v>
      </c>
      <c r="B83" s="31">
        <f>IF(A83=" "," ",($B$26-$B$3*($F$9))*((A83/($F$9))-($C$18/(PI()))*SIN((PI()*A83)/($F$9)))+$B$3*A83)</f>
        <v>9.42442048873172</v>
      </c>
      <c r="C83" s="31">
        <f t="shared" si="4"/>
        <v>1.00815501923401</v>
      </c>
      <c r="D83" s="31">
        <f t="shared" si="1"/>
        <v>55</v>
      </c>
      <c r="E83" s="31">
        <f>IF(D83=" "," ",($E$26-$B$3*($F$8))*((D83/($F$8))-($C$18/(PI()))*SIN((PI()*D83)/($F$8)))+$B$3*D83)</f>
        <v>9.42442048873172</v>
      </c>
      <c r="F83" s="31">
        <f t="shared" si="5"/>
        <v>1.00815501923401</v>
      </c>
      <c r="G83" s="31"/>
      <c r="H83" s="31">
        <f t="shared" si="2"/>
        <v>55</v>
      </c>
      <c r="I83" s="31">
        <f>IF(H83=" "," ",($I$26-$D$3*$F$13)*((H83/$F$13)-($C$18/(PI()))*SIN((PI()*H83)/$F$13))+$D$3*H83)</f>
        <v>10.8643812648922</v>
      </c>
      <c r="J83" s="31">
        <f t="shared" si="6"/>
        <v>1.01958791673713</v>
      </c>
      <c r="K83" s="31">
        <f t="shared" si="3"/>
        <v>55</v>
      </c>
      <c r="L83" s="31">
        <f>IF(K83=" "," ",($L$26-$D$3*$F$12)*((K83/$F$12)-($C$18/(PI()))*SIN((PI()*K83)/$F$12))+$D$3*K83)</f>
        <v>9.55173192282868</v>
      </c>
      <c r="M83" s="31">
        <f t="shared" si="7"/>
        <v>1.00815737105034</v>
      </c>
    </row>
    <row r="84" spans="1:13">
      <c r="A84" s="31">
        <f t="shared" si="0"/>
        <v>56</v>
      </c>
      <c r="B84" s="31">
        <f>IF(A84=" "," ",($B$26-$B$3*($F$9))*((A84/($F$9))-($C$18/(PI()))*SIN((PI()*A84)/($F$9)))+$B$3*A84)</f>
        <v>9.78710977196837</v>
      </c>
      <c r="C84" s="31">
        <f t="shared" si="4"/>
        <v>1.00677503494358</v>
      </c>
      <c r="D84" s="31">
        <f t="shared" si="1"/>
        <v>56</v>
      </c>
      <c r="E84" s="31">
        <f>IF(D84=" "," ",($E$26-$B$3*($F$8))*((D84/($F$8))-($C$18/(PI()))*SIN((PI()*D84)/($F$8)))+$B$3*D84)</f>
        <v>9.78710977196837</v>
      </c>
      <c r="F84" s="31">
        <f t="shared" si="5"/>
        <v>1.00677503494358</v>
      </c>
      <c r="G84" s="31"/>
      <c r="H84" s="31">
        <f t="shared" si="2"/>
        <v>56</v>
      </c>
      <c r="I84" s="31">
        <f>IF(H84=" "," ",($I$26-$D$3*$F$13)*((H84/$F$13)-($C$18/(PI()))*SIN((PI()*H84)/$F$13))+$D$3*H84)</f>
        <v>11.3445679320142</v>
      </c>
      <c r="J84" s="31">
        <f t="shared" si="6"/>
        <v>1.01852921071497</v>
      </c>
      <c r="K84" s="31">
        <f t="shared" si="3"/>
        <v>56</v>
      </c>
      <c r="L84" s="31">
        <f>IF(K84=" "," ",($L$26-$D$3*$F$12)*((K84/$F$12)-($C$18/(PI()))*SIN((PI()*K84)/$F$12))+$D$3*K84)</f>
        <v>9.9194373177377</v>
      </c>
      <c r="M84" s="31">
        <f t="shared" si="7"/>
        <v>1.00677697297859</v>
      </c>
    </row>
    <row r="85" spans="1:13">
      <c r="A85" s="31">
        <f t="shared" si="0"/>
        <v>57</v>
      </c>
      <c r="B85" s="31">
        <f>IF(A85=" "," ",($B$26-$B$3*($F$9))*((A85/($F$9))-($C$18/(PI()))*SIN((PI()*A85)/($F$9)))+$B$3*A85)</f>
        <v>10.1517596890923</v>
      </c>
      <c r="C85" s="31">
        <f t="shared" si="4"/>
        <v>1.00540582249853</v>
      </c>
      <c r="D85" s="31">
        <f t="shared" si="1"/>
        <v>57</v>
      </c>
      <c r="E85" s="31">
        <f>IF(D85=" "," ",($E$26-$B$3*($F$8))*((D85/($F$8))-($C$18/(PI()))*SIN((PI()*D85)/($F$8)))+$B$3*D85)</f>
        <v>10.1517596890923</v>
      </c>
      <c r="F85" s="31">
        <f t="shared" si="5"/>
        <v>1.00540582249853</v>
      </c>
      <c r="G85" s="31"/>
      <c r="H85" s="31">
        <f t="shared" si="2"/>
        <v>57</v>
      </c>
      <c r="I85" s="31">
        <f>IF(H85=" "," ",($I$26-$D$3*$F$13)*((H85/$F$13)-($C$18/(PI()))*SIN((PI()*H85)/$F$13))+$D$3*H85)</f>
        <v>11.8331531759213</v>
      </c>
      <c r="J85" s="31">
        <f t="shared" si="6"/>
        <v>1.01749023319492</v>
      </c>
      <c r="K85" s="31">
        <f t="shared" si="3"/>
        <v>57</v>
      </c>
      <c r="L85" s="31">
        <f>IF(K85=" "," ",($L$26-$D$3*$F$12)*((K85/$F$12)-($C$18/(PI()))*SIN((PI()*K85)/$F$12))+$D$3*K85)</f>
        <v>10.2891310275224</v>
      </c>
      <c r="M85" s="31">
        <f t="shared" si="7"/>
        <v>1.00540735845387</v>
      </c>
    </row>
    <row r="86" spans="1:13">
      <c r="A86" s="31">
        <f t="shared" si="0"/>
        <v>58</v>
      </c>
      <c r="B86" s="31">
        <f>IF(A86=" "," ",($B$26-$B$3*($F$9))*((A86/($F$9))-($C$18/(PI()))*SIN((PI()*A86)/($F$9)))+$B$3*A86)</f>
        <v>10.5178848032679</v>
      </c>
      <c r="C86" s="31">
        <f t="shared" si="4"/>
        <v>1.00404551593841</v>
      </c>
      <c r="D86" s="31">
        <f t="shared" si="1"/>
        <v>58</v>
      </c>
      <c r="E86" s="31">
        <f>IF(D86=" "," ",($E$26-$B$3*($F$8))*((D86/($F$8))-($C$18/(PI()))*SIN((PI()*D86)/($F$8)))+$B$3*D86)</f>
        <v>10.5178848032679</v>
      </c>
      <c r="F86" s="31">
        <f t="shared" si="5"/>
        <v>1.00404551593841</v>
      </c>
      <c r="G86" s="31"/>
      <c r="H86" s="31">
        <f t="shared" si="2"/>
        <v>58</v>
      </c>
      <c r="I86" s="31">
        <f>IF(H86=" "," ",($I$26-$D$3*$F$13)*((H86/$F$13)-($C$18/(PI()))*SIN((PI()*H86)/$F$13))+$D$3*H86)</f>
        <v>12.3297852235705</v>
      </c>
      <c r="J86" s="31">
        <f t="shared" si="6"/>
        <v>1.01646960042796</v>
      </c>
      <c r="K86" s="31">
        <f t="shared" si="3"/>
        <v>58</v>
      </c>
      <c r="L86" s="31">
        <f>IF(K86=" "," ",($L$26-$D$3*$F$12)*((K86/$F$12)-($C$18/(PI()))*SIN((PI()*K86)/$F$12))+$D$3*K86)</f>
        <v>10.660320761762</v>
      </c>
      <c r="M86" s="31">
        <f t="shared" si="7"/>
        <v>1.00404665920802</v>
      </c>
    </row>
    <row r="87" spans="1:13">
      <c r="A87" s="31">
        <f t="shared" si="0"/>
        <v>59</v>
      </c>
      <c r="B87" s="31">
        <f>IF(A87=" "," ",($B$26-$B$3*($F$9))*((A87/($F$9))-($C$18/(PI()))*SIN((PI()*A87)/($F$9)))+$B$3*A87)</f>
        <v>10.884995634247</v>
      </c>
      <c r="C87" s="31">
        <f t="shared" si="4"/>
        <v>1.0026922949704</v>
      </c>
      <c r="D87" s="31">
        <f t="shared" si="1"/>
        <v>59</v>
      </c>
      <c r="E87" s="31">
        <f>IF(D87=" "," ",($E$26-$B$3*($F$8))*((D87/($F$8))-($C$18/(PI()))*SIN((PI()*D87)/($F$8)))+$B$3*D87)</f>
        <v>10.884995634247</v>
      </c>
      <c r="F87" s="31">
        <f t="shared" si="5"/>
        <v>1.0026922949704</v>
      </c>
      <c r="G87" s="31"/>
      <c r="H87" s="31">
        <f t="shared" si="2"/>
        <v>59</v>
      </c>
      <c r="I87" s="31">
        <f>IF(H87=" "," ",($I$26-$D$3*$F$13)*((H87/$F$13)-($C$18/(PI()))*SIN((PI()*H87)/$F$13))+$D$3*H87)</f>
        <v>12.8340981850909</v>
      </c>
      <c r="J87" s="31">
        <f t="shared" si="6"/>
        <v>1.01546600527998</v>
      </c>
      <c r="K87" s="31">
        <f t="shared" si="3"/>
        <v>59</v>
      </c>
      <c r="L87" s="31">
        <f>IF(K87=" "," ",($L$26-$D$3*$F$12)*((K87/$F$12)-($C$18/(PI()))*SIN((PI()*K87)/$F$12))+$D$3*K87)</f>
        <v>11.0325101295365</v>
      </c>
      <c r="M87" s="31">
        <f t="shared" si="7"/>
        <v>1.00269305275102</v>
      </c>
    </row>
    <row r="88" spans="1:13">
      <c r="A88" s="31">
        <f t="shared" si="0"/>
        <v>60</v>
      </c>
      <c r="B88" s="31">
        <f>IF(A88=" "," ",($B$26-$B$3*($F$9))*((A88/($F$9))-($C$18/(PI()))*SIN((PI()*A88)/($F$9)))+$B$3*A88)</f>
        <v>11.2526</v>
      </c>
      <c r="C88" s="31">
        <f t="shared" si="4"/>
        <v>1.00134437541016</v>
      </c>
      <c r="D88" s="31">
        <f t="shared" si="1"/>
        <v>60</v>
      </c>
      <c r="E88" s="31">
        <f>IF(D88=" "," ",($E$26-$B$3*($F$8))*((D88/($F$8))-($C$18/(PI()))*SIN((PI()*D88)/($F$8)))+$B$3*D88)</f>
        <v>11.2526</v>
      </c>
      <c r="F88" s="31">
        <f t="shared" si="5"/>
        <v>1.00134437541016</v>
      </c>
      <c r="G88" s="31"/>
      <c r="H88" s="31">
        <f t="shared" si="2"/>
        <v>60</v>
      </c>
      <c r="I88" s="31">
        <f>IF(H88=" "," ",($I$26-$D$3*$F$13)*((H88/$F$13)-($C$18/(PI()))*SIN((PI()*H88)/$F$13))+$D$3*H88)</f>
        <v>13.3457126956785</v>
      </c>
      <c r="J88" s="31">
        <f t="shared" si="6"/>
        <v>1.01447821020746</v>
      </c>
      <c r="K88" s="31">
        <f t="shared" si="3"/>
        <v>60</v>
      </c>
      <c r="L88" s="31">
        <f>IF(K88=" "," ",($L$26-$D$3*$F$12)*((K88/$F$12)-($C$18/(PI()))*SIN((PI()*K88)/$F$12))+$D$3*K88)</f>
        <v>11.4052</v>
      </c>
      <c r="M88" s="31">
        <f t="shared" si="7"/>
        <v>1.0013447527854</v>
      </c>
    </row>
    <row r="89" spans="1:13">
      <c r="A89" s="31" t="str">
        <f t="shared" si="0"/>
        <v> </v>
      </c>
      <c r="B89" s="31" t="str">
        <f>IF(A89=" "," ",($B$26-$B$3*($F$9))*((A89/($F$9))-($C$18/(PI()))*SIN((PI()*A89)/($F$9)))+$B$3*A89)</f>
        <v> </v>
      </c>
      <c r="C89" s="31" t="str">
        <f t="shared" si="4"/>
        <v> </v>
      </c>
      <c r="D89" s="31" t="str">
        <f t="shared" si="1"/>
        <v> </v>
      </c>
      <c r="E89" s="31" t="str">
        <f>IF(D89=" "," ",($E$26-$B$3*($F$8))*((D89/($F$8))-($C$18/(PI()))*SIN((PI()*D89)/($F$8)))+$B$3*D89)</f>
        <v> </v>
      </c>
      <c r="F89" s="31" t="str">
        <f t="shared" si="5"/>
        <v> </v>
      </c>
      <c r="G89" s="31"/>
      <c r="H89" s="31">
        <f t="shared" si="2"/>
        <v>61</v>
      </c>
      <c r="I89" s="31">
        <f>IF(H89=" "," ",($I$26-$D$3*$F$13)*((H89/$F$13)-($C$18/(PI()))*SIN((PI()*H89)/$F$13))+$D$3*H89)</f>
        <v>13.8642365811313</v>
      </c>
      <c r="J89" s="31">
        <f t="shared" si="6"/>
        <v>1.01350504085044</v>
      </c>
      <c r="K89" s="31" t="str">
        <f t="shared" si="3"/>
        <v> </v>
      </c>
      <c r="L89" s="31" t="str">
        <f>IF(K89=" "," ",($L$26-$D$3*$F$12)*((K89/$F$12)-($C$18/(PI()))*SIN((PI()*K89)/$F$12))+$D$3*K89)</f>
        <v> </v>
      </c>
      <c r="M89" s="31" t="str">
        <f t="shared" si="7"/>
        <v> </v>
      </c>
    </row>
    <row r="90" spans="1:13">
      <c r="A90" s="31" t="str">
        <f t="shared" si="0"/>
        <v> </v>
      </c>
      <c r="B90" s="31" t="str">
        <f>IF(A90=" "," ",($B$26-$B$3*($F$9))*((A90/($F$9))-($C$18/(PI()))*SIN((PI()*A90)/($F$9)))+$B$3*A90)</f>
        <v> </v>
      </c>
      <c r="C90" s="31" t="str">
        <f t="shared" si="4"/>
        <v> </v>
      </c>
      <c r="D90" s="31" t="str">
        <f t="shared" si="1"/>
        <v> </v>
      </c>
      <c r="E90" s="31" t="str">
        <f>IF(D90=" "," ",($E$26-$B$3*($F$8))*((D90/($F$8))-($C$18/(PI()))*SIN((PI()*D90)/($F$8)))+$B$3*D90)</f>
        <v> </v>
      </c>
      <c r="F90" s="31" t="str">
        <f t="shared" si="5"/>
        <v> </v>
      </c>
      <c r="G90" s="31"/>
      <c r="H90" s="31">
        <f t="shared" si="2"/>
        <v>62</v>
      </c>
      <c r="I90" s="31">
        <f>IF(H90=" "," ",($I$26-$D$3*$F$13)*((H90/$F$13)-($C$18/(PI()))*SIN((PI()*H90)/$F$13))+$D$3*H90)</f>
        <v>14.3892655458558</v>
      </c>
      <c r="J90" s="31">
        <f t="shared" si="6"/>
        <v>1.01254538017296</v>
      </c>
      <c r="K90" s="31" t="str">
        <f t="shared" si="3"/>
        <v> </v>
      </c>
      <c r="L90" s="31" t="str">
        <f>IF(K90=" "," ",($L$26-$D$3*$F$12)*((K90/$F$12)-($C$18/(PI()))*SIN((PI()*K90)/$F$12))+$D$3*K90)</f>
        <v> </v>
      </c>
      <c r="M90" s="31" t="str">
        <f t="shared" si="7"/>
        <v> </v>
      </c>
    </row>
    <row r="91" spans="1:13">
      <c r="A91" s="31" t="str">
        <f t="shared" si="0"/>
        <v> </v>
      </c>
      <c r="B91" s="31" t="str">
        <f>IF(A91=" "," ",($B$26-$B$3*($F$9))*((A91/($F$9))-($C$18/(PI()))*SIN((PI()*A91)/($F$9)))+$B$3*A91)</f>
        <v> </v>
      </c>
      <c r="C91" s="31" t="str">
        <f t="shared" si="4"/>
        <v> </v>
      </c>
      <c r="D91" s="31" t="str">
        <f t="shared" si="1"/>
        <v> </v>
      </c>
      <c r="E91" s="31" t="str">
        <f>IF(D91=" "," ",($E$26-$B$3*($F$8))*((D91/($F$8))-($C$18/(PI()))*SIN((PI()*D91)/($F$8)))+$B$3*D91)</f>
        <v> </v>
      </c>
      <c r="F91" s="31" t="str">
        <f t="shared" si="5"/>
        <v> </v>
      </c>
      <c r="G91" s="31"/>
      <c r="H91" s="31">
        <f t="shared" si="2"/>
        <v>63</v>
      </c>
      <c r="I91" s="31">
        <f>IF(H91=" "," ",($I$26-$D$3*$F$13)*((H91/$F$13)-($C$18/(PI()))*SIN((PI()*H91)/$F$13))+$D$3*H91)</f>
        <v>14.9203838821392</v>
      </c>
      <c r="J91" s="31">
        <f t="shared" si="6"/>
        <v>1.01159816308816</v>
      </c>
      <c r="K91" s="31" t="str">
        <f t="shared" si="3"/>
        <v> </v>
      </c>
      <c r="L91" s="31" t="str">
        <f>IF(K91=" "," ",($L$26-$D$3*$F$12)*((K91/$F$12)-($C$18/(PI()))*SIN((PI()*K91)/$F$12))+$D$3*K91)</f>
        <v> </v>
      </c>
      <c r="M91" s="31" t="str">
        <f t="shared" si="7"/>
        <v> </v>
      </c>
    </row>
    <row r="92" spans="1:13">
      <c r="A92" s="31" t="str">
        <f t="shared" si="0"/>
        <v> </v>
      </c>
      <c r="B92" s="31" t="str">
        <f>IF(A92=" "," ",($B$26-$B$3*($F$9))*((A92/($F$9))-($C$18/(PI()))*SIN((PI()*A92)/($F$9)))+$B$3*A92)</f>
        <v> </v>
      </c>
      <c r="C92" s="31" t="str">
        <f t="shared" si="4"/>
        <v> </v>
      </c>
      <c r="D92" s="31" t="str">
        <f t="shared" si="1"/>
        <v> </v>
      </c>
      <c r="E92" s="31" t="str">
        <f>IF(D92=" "," ",($E$26-$B$3*($F$8))*((D92/($F$8))-($C$18/(PI()))*SIN((PI()*D92)/($F$8)))+$B$3*D92)</f>
        <v> </v>
      </c>
      <c r="F92" s="31" t="str">
        <f t="shared" si="5"/>
        <v> </v>
      </c>
      <c r="G92" s="31"/>
      <c r="H92" s="31">
        <f t="shared" si="2"/>
        <v>64</v>
      </c>
      <c r="I92" s="31">
        <f>IF(H92=" "," ",($I$26-$D$3*$F$13)*((H92/$F$13)-($C$18/(PI()))*SIN((PI()*H92)/$F$13))+$D$3*H92)</f>
        <v>15.4571651994418</v>
      </c>
      <c r="J92" s="31">
        <f t="shared" si="6"/>
        <v>1.01066237151353</v>
      </c>
      <c r="K92" s="31" t="str">
        <f t="shared" si="3"/>
        <v> </v>
      </c>
      <c r="L92" s="31" t="str">
        <f>IF(K92=" "," ",($L$26-$D$3*$F$12)*((K92/$F$12)-($C$18/(PI()))*SIN((PI()*K92)/$F$12))+$D$3*K92)</f>
        <v> </v>
      </c>
      <c r="M92" s="31" t="str">
        <f t="shared" si="7"/>
        <v> </v>
      </c>
    </row>
    <row r="93" spans="1:13">
      <c r="A93" s="31" t="str">
        <f t="shared" ref="A93:A156" si="8">IF(($F$9)-ROW(A65)&gt;=0,($F$9)-(($F$9)-ROW(A65))," ")</f>
        <v> </v>
      </c>
      <c r="B93" s="31" t="str">
        <f>IF(A93=" "," ",($B$26-$B$3*($F$9))*((A93/($F$9))-($C$18/(PI()))*SIN((PI()*A93)/($F$9)))+$B$3*A93)</f>
        <v> </v>
      </c>
      <c r="C93" s="31" t="str">
        <f t="shared" si="4"/>
        <v> </v>
      </c>
      <c r="D93" s="31" t="str">
        <f t="shared" ref="D93:D156" si="9">IF(($F$8)-ROW(D65)&gt;=0,($F$8)-(($F$8)-ROW(D65))," ")</f>
        <v> </v>
      </c>
      <c r="E93" s="31" t="str">
        <f>IF(D93=" "," ",($E$26-$B$3*($F$8))*((D93/($F$8))-($C$18/(PI()))*SIN((PI()*D93)/($F$8)))+$B$3*D93)</f>
        <v> </v>
      </c>
      <c r="F93" s="31" t="str">
        <f t="shared" si="5"/>
        <v> </v>
      </c>
      <c r="G93" s="31"/>
      <c r="H93" s="31">
        <f t="shared" ref="H93:H156" si="10">IF($F$13-ROW(H65)&gt;=0,$F$13-($F$13-ROW(H65))," ")</f>
        <v>65</v>
      </c>
      <c r="I93" s="31">
        <f>IF(H93=" "," ",($I$26-$D$3*$F$13)*((H93/$F$13)-($C$18/(PI()))*SIN((PI()*H93)/$F$13))+$D$3*H93)</f>
        <v>15.9991731724306</v>
      </c>
      <c r="J93" s="31">
        <f t="shared" si="6"/>
        <v>1.00973702980682</v>
      </c>
      <c r="K93" s="31" t="str">
        <f t="shared" ref="K93:K156" si="11">IF($F$12-ROW(K65)&gt;=0,$F$12-($F$12-ROW(K65))," ")</f>
        <v> </v>
      </c>
      <c r="L93" s="31" t="str">
        <f>IF(K93=" "," ",($L$26-$D$3*$F$12)*((K93/$F$12)-($C$18/(PI()))*SIN((PI()*K93)/$F$12))+$D$3*K93)</f>
        <v> </v>
      </c>
      <c r="M93" s="31" t="str">
        <f t="shared" si="7"/>
        <v> </v>
      </c>
    </row>
    <row r="94" spans="1:13">
      <c r="A94" s="31" t="str">
        <f t="shared" si="8"/>
        <v> </v>
      </c>
      <c r="B94" s="31" t="str">
        <f>IF(A94=" "," ",($B$26-$B$3*($F$9))*((A94/($F$9))-($C$18/(PI()))*SIN((PI()*A94)/($F$9)))+$B$3*A94)</f>
        <v> </v>
      </c>
      <c r="C94" s="31" t="str">
        <f t="shared" ref="C94:C157" si="12">IF(A94=" "," ",(B94-B93)/(B93-B92))</f>
        <v> </v>
      </c>
      <c r="D94" s="31" t="str">
        <f t="shared" si="9"/>
        <v> </v>
      </c>
      <c r="E94" s="31" t="str">
        <f>IF(D94=" "," ",($E$26-$B$3*($F$8))*((D94/($F$8))-($C$18/(PI()))*SIN((PI()*D94)/($F$8)))+$B$3*D94)</f>
        <v> </v>
      </c>
      <c r="F94" s="31" t="str">
        <f t="shared" ref="F94:F157" si="13">IF(D94=" "," ",(E94-E93)/(E93-E92))</f>
        <v> </v>
      </c>
      <c r="G94" s="31"/>
      <c r="H94" s="31">
        <f t="shared" si="10"/>
        <v>66</v>
      </c>
      <c r="I94" s="31">
        <f>IF(H94=" "," ",($I$26-$D$3*$F$13)*((H94/$F$13)-($C$18/(PI()))*SIN((PI()*H94)/$F$13))+$D$3*H94)</f>
        <v>16.5459623064429</v>
      </c>
      <c r="J94" s="31">
        <f t="shared" ref="J94:J157" si="14">IF(H94=" "," ",(I94-I93)/(I93-I92))</f>
        <v>1.00882120053893</v>
      </c>
      <c r="K94" s="31" t="str">
        <f t="shared" si="11"/>
        <v> </v>
      </c>
      <c r="L94" s="31" t="str">
        <f>IF(K94=" "," ",($L$26-$D$3*$F$12)*((K94/$F$12)-($C$18/(PI()))*SIN((PI()*K94)/$F$12))+$D$3*K94)</f>
        <v> </v>
      </c>
      <c r="M94" s="31" t="str">
        <f t="shared" ref="M94:M157" si="15">IF(K94=" "," ",(L94-L93)/(L93-L92))</f>
        <v> </v>
      </c>
    </row>
    <row r="95" spans="1:13">
      <c r="A95" s="31" t="str">
        <f t="shared" si="8"/>
        <v> </v>
      </c>
      <c r="B95" s="31" t="str">
        <f>IF(A95=" "," ",($B$26-$B$3*($F$9))*((A95/($F$9))-($C$18/(PI()))*SIN((PI()*A95)/($F$9)))+$B$3*A95)</f>
        <v> </v>
      </c>
      <c r="C95" s="31" t="str">
        <f t="shared" si="12"/>
        <v> </v>
      </c>
      <c r="D95" s="31" t="str">
        <f t="shared" si="9"/>
        <v> </v>
      </c>
      <c r="E95" s="31" t="str">
        <f>IF(D95=" "," ",($E$26-$B$3*($F$8))*((D95/($F$8))-($C$18/(PI()))*SIN((PI()*D95)/($F$8)))+$B$3*D95)</f>
        <v> </v>
      </c>
      <c r="F95" s="31" t="str">
        <f t="shared" si="13"/>
        <v> </v>
      </c>
      <c r="G95" s="31"/>
      <c r="H95" s="31">
        <f t="shared" si="10"/>
        <v>67</v>
      </c>
      <c r="I95" s="31">
        <f>IF(H95=" "," ",($I$26-$D$3*$F$13)*((H95/$F$13)-($C$18/(PI()))*SIN((PI()*H95)/$F$13))+$D$3*H95)</f>
        <v>17.0970787190346</v>
      </c>
      <c r="J95" s="31">
        <f t="shared" si="14"/>
        <v>1.00791398056452</v>
      </c>
      <c r="K95" s="31" t="str">
        <f t="shared" si="11"/>
        <v> </v>
      </c>
      <c r="L95" s="31" t="str">
        <f>IF(K95=" "," ",($L$26-$D$3*$F$12)*((K95/$F$12)-($C$18/(PI()))*SIN((PI()*K95)/$F$12))+$D$3*K95)</f>
        <v> </v>
      </c>
      <c r="M95" s="31" t="str">
        <f t="shared" si="15"/>
        <v> </v>
      </c>
    </row>
    <row r="96" spans="1:13">
      <c r="A96" s="31" t="str">
        <f t="shared" si="8"/>
        <v> </v>
      </c>
      <c r="B96" s="31" t="str">
        <f>IF(A96=" "," ",($B$26-$B$3*($F$9))*((A96/($F$9))-($C$18/(PI()))*SIN((PI()*A96)/($F$9)))+$B$3*A96)</f>
        <v> </v>
      </c>
      <c r="C96" s="31" t="str">
        <f t="shared" si="12"/>
        <v> </v>
      </c>
      <c r="D96" s="31" t="str">
        <f t="shared" si="9"/>
        <v> </v>
      </c>
      <c r="E96" s="31" t="str">
        <f>IF(D96=" "," ",($E$26-$B$3*($F$8))*((D96/($F$8))-($C$18/(PI()))*SIN((PI()*D96)/($F$8)))+$B$3*D96)</f>
        <v> </v>
      </c>
      <c r="F96" s="31" t="str">
        <f t="shared" si="13"/>
        <v> </v>
      </c>
      <c r="G96" s="31"/>
      <c r="H96" s="31">
        <f t="shared" si="10"/>
        <v>68</v>
      </c>
      <c r="I96" s="31">
        <f>IF(H96=" "," ",($I$26-$D$3*$F$13)*((H96/$F$13)-($C$18/(PI()))*SIN((PI()*H96)/$F$13))+$D$3*H96)</f>
        <v>17.6520609362448</v>
      </c>
      <c r="J96" s="31">
        <f t="shared" si="14"/>
        <v>1.00701449735505</v>
      </c>
      <c r="K96" s="31" t="str">
        <f t="shared" si="11"/>
        <v> </v>
      </c>
      <c r="L96" s="31" t="str">
        <f>IF(K96=" "," ",($L$26-$D$3*$F$12)*((K96/$F$12)-($C$18/(PI()))*SIN((PI()*K96)/$F$12))+$D$3*K96)</f>
        <v> </v>
      </c>
      <c r="M96" s="31" t="str">
        <f t="shared" si="15"/>
        <v> </v>
      </c>
    </row>
    <row r="97" spans="1:13">
      <c r="A97" s="31" t="str">
        <f t="shared" si="8"/>
        <v> </v>
      </c>
      <c r="B97" s="31" t="str">
        <f>IF(A97=" "," ",($B$26-$B$3*($F$9))*((A97/($F$9))-($C$18/(PI()))*SIN((PI()*A97)/($F$9)))+$B$3*A97)</f>
        <v> </v>
      </c>
      <c r="C97" s="31" t="str">
        <f t="shared" si="12"/>
        <v> </v>
      </c>
      <c r="D97" s="31" t="str">
        <f t="shared" si="9"/>
        <v> </v>
      </c>
      <c r="E97" s="31" t="str">
        <f>IF(D97=" "," ",($E$26-$B$3*($F$8))*((D97/($F$8))-($C$18/(PI()))*SIN((PI()*D97)/($F$8)))+$B$3*D97)</f>
        <v> </v>
      </c>
      <c r="F97" s="31" t="str">
        <f t="shared" si="13"/>
        <v> </v>
      </c>
      <c r="G97" s="31"/>
      <c r="H97" s="31">
        <f t="shared" si="10"/>
        <v>69</v>
      </c>
      <c r="I97" s="31">
        <f>IF(H97=" "," ",($I$26-$D$3*$F$13)*((H97/$F$13)-($C$18/(PI()))*SIN((PI()*H97)/$F$13))+$D$3*H97)</f>
        <v>18.2104407021775</v>
      </c>
      <c r="J97" s="31">
        <f t="shared" si="14"/>
        <v>1.00612190556231</v>
      </c>
      <c r="K97" s="31" t="str">
        <f t="shared" si="11"/>
        <v> </v>
      </c>
      <c r="L97" s="31" t="str">
        <f>IF(K97=" "," ",($L$26-$D$3*$F$12)*((K97/$F$12)-($C$18/(PI()))*SIN((PI()*K97)/$F$12))+$D$3*K97)</f>
        <v> </v>
      </c>
      <c r="M97" s="31" t="str">
        <f t="shared" si="15"/>
        <v> </v>
      </c>
    </row>
    <row r="98" spans="1:13">
      <c r="A98" s="31" t="str">
        <f t="shared" si="8"/>
        <v> </v>
      </c>
      <c r="B98" s="31" t="str">
        <f>IF(A98=" "," ",($B$26-$B$3*($F$9))*((A98/($F$9))-($C$18/(PI()))*SIN((PI()*A98)/($F$9)))+$B$3*A98)</f>
        <v> </v>
      </c>
      <c r="C98" s="31" t="str">
        <f t="shared" si="12"/>
        <v> </v>
      </c>
      <c r="D98" s="31" t="str">
        <f t="shared" si="9"/>
        <v> </v>
      </c>
      <c r="E98" s="31" t="str">
        <f>IF(D98=" "," ",($E$26-$B$3*($F$8))*((D98/($F$8))-($C$18/(PI()))*SIN((PI()*D98)/($F$8)))+$B$3*D98)</f>
        <v> </v>
      </c>
      <c r="F98" s="31" t="str">
        <f t="shared" si="13"/>
        <v> </v>
      </c>
      <c r="G98" s="31"/>
      <c r="H98" s="31">
        <f t="shared" si="10"/>
        <v>70</v>
      </c>
      <c r="I98" s="31">
        <f>IF(H98=" "," ",($I$26-$D$3*$F$13)*((H98/$F$13)-($C$18/(PI()))*SIN((PI()*H98)/$F$13))+$D$3*H98)</f>
        <v>18.7717438004819</v>
      </c>
      <c r="J98" s="31">
        <f t="shared" si="14"/>
        <v>1.00523538378356</v>
      </c>
      <c r="K98" s="31" t="str">
        <f t="shared" si="11"/>
        <v> </v>
      </c>
      <c r="L98" s="31" t="str">
        <f>IF(K98=" "," ",($L$26-$D$3*$F$12)*((K98/$F$12)-($C$18/(PI()))*SIN((PI()*K98)/$F$12))+$D$3*K98)</f>
        <v> </v>
      </c>
      <c r="M98" s="31" t="str">
        <f t="shared" si="15"/>
        <v> </v>
      </c>
    </row>
    <row r="99" spans="1:13">
      <c r="A99" s="31" t="str">
        <f t="shared" si="8"/>
        <v> </v>
      </c>
      <c r="B99" s="31" t="str">
        <f>IF(A99=" "," ",($B$26-$B$3*($F$9))*((A99/($F$9))-($C$18/(PI()))*SIN((PI()*A99)/($F$9)))+$B$3*A99)</f>
        <v> </v>
      </c>
      <c r="C99" s="31" t="str">
        <f t="shared" si="12"/>
        <v> </v>
      </c>
      <c r="D99" s="31" t="str">
        <f t="shared" si="9"/>
        <v> </v>
      </c>
      <c r="E99" s="31" t="str">
        <f>IF(D99=" "," ",($E$26-$B$3*($F$8))*((D99/($F$8))-($C$18/(PI()))*SIN((PI()*D99)/($F$8)))+$B$3*D99)</f>
        <v> </v>
      </c>
      <c r="F99" s="31" t="str">
        <f t="shared" si="13"/>
        <v> </v>
      </c>
      <c r="G99" s="31"/>
      <c r="H99" s="31">
        <f t="shared" si="10"/>
        <v>71</v>
      </c>
      <c r="I99" s="31">
        <f>IF(H99=" "," ",($I$26-$D$3*$F$13)*((H99/$F$13)-($C$18/(PI()))*SIN((PI()*H99)/$F$13))+$D$3*H99)</f>
        <v>19.3354908862887</v>
      </c>
      <c r="J99" s="31">
        <f t="shared" si="14"/>
        <v>1.00435413150188</v>
      </c>
      <c r="K99" s="31" t="str">
        <f t="shared" si="11"/>
        <v> </v>
      </c>
      <c r="L99" s="31" t="str">
        <f>IF(K99=" "," ",($L$26-$D$3*$F$12)*((K99/$F$12)-($C$18/(PI()))*SIN((PI()*K99)/$F$12))+$D$3*K99)</f>
        <v> </v>
      </c>
      <c r="M99" s="31" t="str">
        <f t="shared" si="15"/>
        <v> </v>
      </c>
    </row>
    <row r="100" spans="1:13">
      <c r="A100" s="31" t="str">
        <f t="shared" si="8"/>
        <v> </v>
      </c>
      <c r="B100" s="31" t="str">
        <f>IF(A100=" "," ",($B$26-$B$3*($F$9))*((A100/($F$9))-($C$18/(PI()))*SIN((PI()*A100)/($F$9)))+$B$3*A100)</f>
        <v> </v>
      </c>
      <c r="C100" s="31" t="str">
        <f t="shared" si="12"/>
        <v> </v>
      </c>
      <c r="D100" s="31" t="str">
        <f t="shared" si="9"/>
        <v> </v>
      </c>
      <c r="E100" s="31" t="str">
        <f>IF(D100=" "," ",($E$26-$B$3*($F$8))*((D100/($F$8))-($C$18/(PI()))*SIN((PI()*D100)/($F$8)))+$B$3*D100)</f>
        <v> </v>
      </c>
      <c r="F100" s="31" t="str">
        <f t="shared" si="13"/>
        <v> </v>
      </c>
      <c r="G100" s="31"/>
      <c r="H100" s="31">
        <f t="shared" si="10"/>
        <v>72</v>
      </c>
      <c r="I100" s="31">
        <f>IF(H100=" "," ",($I$26-$D$3*$F$13)*((H100/$F$13)-($C$18/(PI()))*SIN((PI()*H100)/$F$13))+$D$3*H100)</f>
        <v>19.9011983271441</v>
      </c>
      <c r="J100" s="31">
        <f t="shared" si="14"/>
        <v>1.00347736617715</v>
      </c>
      <c r="K100" s="31" t="str">
        <f t="shared" si="11"/>
        <v> </v>
      </c>
      <c r="L100" s="31" t="str">
        <f>IF(K100=" "," ",($L$26-$D$3*$F$12)*((K100/$F$12)-($C$18/(PI()))*SIN((PI()*K100)/$F$12))+$D$3*K100)</f>
        <v> </v>
      </c>
      <c r="M100" s="31" t="str">
        <f t="shared" si="15"/>
        <v> </v>
      </c>
    </row>
    <row r="101" spans="1:13">
      <c r="A101" s="31" t="str">
        <f t="shared" si="8"/>
        <v> </v>
      </c>
      <c r="B101" s="31" t="str">
        <f>IF(A101=" "," ",($B$26-$B$3*($F$9))*((A101/($F$9))-($C$18/(PI()))*SIN((PI()*A101)/($F$9)))+$B$3*A101)</f>
        <v> </v>
      </c>
      <c r="C101" s="31" t="str">
        <f t="shared" si="12"/>
        <v> </v>
      </c>
      <c r="D101" s="31" t="str">
        <f t="shared" si="9"/>
        <v> </v>
      </c>
      <c r="E101" s="31" t="str">
        <f>IF(D101=" "," ",($E$26-$B$3*($F$8))*((D101/($F$8))-($C$18/(PI()))*SIN((PI()*D101)/($F$8)))+$B$3*D101)</f>
        <v> </v>
      </c>
      <c r="F101" s="31" t="str">
        <f t="shared" si="13"/>
        <v> </v>
      </c>
      <c r="G101" s="31"/>
      <c r="H101" s="31">
        <f t="shared" si="10"/>
        <v>73</v>
      </c>
      <c r="I101" s="31">
        <f>IF(H101=" "," ",($I$26-$D$3*$F$13)*((H101/$F$13)-($C$18/(PI()))*SIN((PI()*H101)/$F$13))+$D$3*H101)</f>
        <v>20.4683790514655</v>
      </c>
      <c r="J101" s="31">
        <f t="shared" si="14"/>
        <v>1.00260432046601</v>
      </c>
      <c r="K101" s="31" t="str">
        <f t="shared" si="11"/>
        <v> </v>
      </c>
      <c r="L101" s="31" t="str">
        <f>IF(K101=" "," ",($L$26-$D$3*$F$12)*((K101/$F$12)-($C$18/(PI()))*SIN((PI()*K101)/$F$12))+$D$3*K101)</f>
        <v> </v>
      </c>
      <c r="M101" s="31" t="str">
        <f t="shared" si="15"/>
        <v> </v>
      </c>
    </row>
    <row r="102" spans="1:13">
      <c r="A102" s="31" t="str">
        <f t="shared" si="8"/>
        <v> </v>
      </c>
      <c r="B102" s="31" t="str">
        <f>IF(A102=" "," ",($B$26-$B$3*($F$9))*((A102/($F$9))-($C$18/(PI()))*SIN((PI()*A102)/($F$9)))+$B$3*A102)</f>
        <v> </v>
      </c>
      <c r="C102" s="31" t="str">
        <f t="shared" si="12"/>
        <v> </v>
      </c>
      <c r="D102" s="31" t="str">
        <f t="shared" si="9"/>
        <v> </v>
      </c>
      <c r="E102" s="31" t="str">
        <f>IF(D102=" "," ",($E$26-$B$3*($F$8))*((D102/($F$8))-($C$18/(PI()))*SIN((PI()*D102)/($F$8)))+$B$3*D102)</f>
        <v> </v>
      </c>
      <c r="F102" s="31" t="str">
        <f t="shared" si="13"/>
        <v> </v>
      </c>
      <c r="G102" s="31"/>
      <c r="H102" s="31">
        <f t="shared" si="10"/>
        <v>74</v>
      </c>
      <c r="I102" s="31">
        <f>IF(H102=" "," ",($I$26-$D$3*$F$13)*((H102/$F$13)-($C$18/(PI()))*SIN((PI()*H102)/$F$13))+$D$3*H102)</f>
        <v>21.0365434030304</v>
      </c>
      <c r="J102" s="31">
        <f t="shared" si="14"/>
        <v>1.00173423954894</v>
      </c>
      <c r="K102" s="31" t="str">
        <f t="shared" si="11"/>
        <v> </v>
      </c>
      <c r="L102" s="31" t="str">
        <f>IF(K102=" "," ",($L$26-$D$3*$F$12)*((K102/$F$12)-($C$18/(PI()))*SIN((PI()*K102)/$F$12))+$D$3*K102)</f>
        <v> </v>
      </c>
      <c r="M102" s="31" t="str">
        <f t="shared" si="15"/>
        <v> </v>
      </c>
    </row>
    <row r="103" spans="1:13">
      <c r="A103" s="31" t="str">
        <f t="shared" si="8"/>
        <v> </v>
      </c>
      <c r="B103" s="31" t="str">
        <f>IF(A103=" "," ",($B$26-$B$3*($F$9))*((A103/($F$9))-($C$18/(PI()))*SIN((PI()*A103)/($F$9)))+$B$3*A103)</f>
        <v> </v>
      </c>
      <c r="C103" s="31" t="str">
        <f t="shared" si="12"/>
        <v> </v>
      </c>
      <c r="D103" s="31" t="str">
        <f t="shared" si="9"/>
        <v> </v>
      </c>
      <c r="E103" s="31" t="str">
        <f>IF(D103=" "," ",($E$26-$B$3*($F$8))*((D103/($F$8))-($C$18/(PI()))*SIN((PI()*D103)/($F$8)))+$B$3*D103)</f>
        <v> </v>
      </c>
      <c r="F103" s="31" t="str">
        <f t="shared" si="13"/>
        <v> </v>
      </c>
      <c r="G103" s="31"/>
      <c r="H103" s="31">
        <f t="shared" si="10"/>
        <v>75</v>
      </c>
      <c r="I103" s="31">
        <f>IF(H103=" "," ",($I$26-$D$3*$F$13)*((H103/$F$13)-($C$18/(PI()))*SIN((PI()*H103)/$F$13))+$D$3*H103)</f>
        <v>21.6052</v>
      </c>
      <c r="J103" s="31">
        <f t="shared" si="14"/>
        <v>1.00086637854567</v>
      </c>
      <c r="K103" s="31" t="str">
        <f t="shared" si="11"/>
        <v> </v>
      </c>
      <c r="L103" s="31" t="str">
        <f>IF(K103=" "," ",($L$26-$D$3*$F$12)*((K103/$F$12)-($C$18/(PI()))*SIN((PI()*K103)/$F$12))+$D$3*K103)</f>
        <v> </v>
      </c>
      <c r="M103" s="31" t="str">
        <f t="shared" si="15"/>
        <v> </v>
      </c>
    </row>
    <row r="104" spans="1:13">
      <c r="A104" s="31" t="str">
        <f t="shared" si="8"/>
        <v> </v>
      </c>
      <c r="B104" s="31" t="str">
        <f>IF(A104=" "," ",($B$26-$B$3*($F$9))*((A104/($F$9))-($C$18/(PI()))*SIN((PI()*A104)/($F$9)))+$B$3*A104)</f>
        <v> </v>
      </c>
      <c r="C104" s="31" t="str">
        <f t="shared" si="12"/>
        <v> </v>
      </c>
      <c r="D104" s="31" t="str">
        <f t="shared" si="9"/>
        <v> </v>
      </c>
      <c r="E104" s="31" t="str">
        <f>IF(D104=" "," ",($E$26-$B$3*($F$8))*((D104/($F$8))-($C$18/(PI()))*SIN((PI()*D104)/($F$8)))+$B$3*D104)</f>
        <v> </v>
      </c>
      <c r="F104" s="31" t="str">
        <f t="shared" si="13"/>
        <v> </v>
      </c>
      <c r="G104" s="31"/>
      <c r="H104" s="31" t="str">
        <f t="shared" si="10"/>
        <v> </v>
      </c>
      <c r="I104" s="31" t="str">
        <f>IF(H104=" "," ",($I$26-$D$3*$F$13)*((H104/$F$13)-($C$18/(PI()))*SIN((PI()*H104)/$F$13))+$D$3*H104)</f>
        <v> </v>
      </c>
      <c r="J104" s="31" t="str">
        <f t="shared" si="14"/>
        <v> </v>
      </c>
      <c r="K104" s="31" t="str">
        <f t="shared" si="11"/>
        <v> </v>
      </c>
      <c r="L104" s="31" t="str">
        <f>IF(K104=" "," ",($L$26-$D$3*$F$12)*((K104/$F$12)-($C$18/(PI()))*SIN((PI()*K104)/$F$12))+$D$3*K104)</f>
        <v> </v>
      </c>
      <c r="M104" s="31" t="str">
        <f t="shared" si="15"/>
        <v> </v>
      </c>
    </row>
    <row r="105" spans="1:13">
      <c r="A105" s="31" t="str">
        <f t="shared" si="8"/>
        <v> </v>
      </c>
      <c r="B105" s="31" t="str">
        <f>IF(A105=" "," ",($B$26-$B$3*($F$9))*((A105/($F$9))-($C$18/(PI()))*SIN((PI()*A105)/($F$9)))+$B$3*A105)</f>
        <v> </v>
      </c>
      <c r="C105" s="31" t="str">
        <f t="shared" si="12"/>
        <v> </v>
      </c>
      <c r="D105" s="31" t="str">
        <f t="shared" si="9"/>
        <v> </v>
      </c>
      <c r="E105" s="31" t="str">
        <f>IF(D105=" "," ",($E$26-$B$3*($F$8))*((D105/($F$8))-($C$18/(PI()))*SIN((PI()*D105)/($F$8)))+$B$3*D105)</f>
        <v> </v>
      </c>
      <c r="F105" s="31" t="str">
        <f t="shared" si="13"/>
        <v> </v>
      </c>
      <c r="G105" s="31"/>
      <c r="H105" s="31" t="str">
        <f t="shared" si="10"/>
        <v> </v>
      </c>
      <c r="I105" s="31" t="str">
        <f>IF(H105=" "," ",($I$26-$D$3*$F$13)*((H105/$F$13)-($C$18/(PI()))*SIN((PI()*H105)/$F$13))+$D$3*H105)</f>
        <v> </v>
      </c>
      <c r="J105" s="31" t="str">
        <f t="shared" si="14"/>
        <v> </v>
      </c>
      <c r="K105" s="31" t="str">
        <f t="shared" si="11"/>
        <v> </v>
      </c>
      <c r="L105" s="31" t="str">
        <f>IF(K105=" "," ",($L$26-$D$3*$F$12)*((K105/$F$12)-($C$18/(PI()))*SIN((PI()*K105)/$F$12))+$D$3*K105)</f>
        <v> </v>
      </c>
      <c r="M105" s="31" t="str">
        <f t="shared" si="15"/>
        <v> </v>
      </c>
    </row>
    <row r="106" spans="1:13">
      <c r="A106" s="31" t="str">
        <f t="shared" si="8"/>
        <v> </v>
      </c>
      <c r="B106" s="31" t="str">
        <f>IF(A106=" "," ",($B$26-$B$3*($F$9))*((A106/($F$9))-($C$18/(PI()))*SIN((PI()*A106)/($F$9)))+$B$3*A106)</f>
        <v> </v>
      </c>
      <c r="C106" s="31" t="str">
        <f t="shared" si="12"/>
        <v> </v>
      </c>
      <c r="D106" s="31" t="str">
        <f t="shared" si="9"/>
        <v> </v>
      </c>
      <c r="E106" s="31" t="str">
        <f>IF(D106=" "," ",($E$26-$B$3*($F$8))*((D106/($F$8))-($C$18/(PI()))*SIN((PI()*D106)/($F$8)))+$B$3*D106)</f>
        <v> </v>
      </c>
      <c r="F106" s="31" t="str">
        <f t="shared" si="13"/>
        <v> </v>
      </c>
      <c r="G106" s="31"/>
      <c r="H106" s="31" t="str">
        <f t="shared" si="10"/>
        <v> </v>
      </c>
      <c r="I106" s="31" t="str">
        <f>IF(H106=" "," ",($I$26-$D$3*$F$13)*((H106/$F$13)-($C$18/(PI()))*SIN((PI()*H106)/$F$13))+$D$3*H106)</f>
        <v> </v>
      </c>
      <c r="J106" s="31" t="str">
        <f t="shared" si="14"/>
        <v> </v>
      </c>
      <c r="K106" s="31" t="str">
        <f t="shared" si="11"/>
        <v> </v>
      </c>
      <c r="L106" s="31" t="str">
        <f>IF(K106=" "," ",($L$26-$D$3*$F$12)*((K106/$F$12)-($C$18/(PI()))*SIN((PI()*K106)/$F$12))+$D$3*K106)</f>
        <v> </v>
      </c>
      <c r="M106" s="31" t="str">
        <f t="shared" si="15"/>
        <v> 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 t="str">
        <f t="shared" si="10"/>
        <v> </v>
      </c>
      <c r="I107" s="31" t="str">
        <f>IF(H107=" "," ",($I$26-$D$3*$F$13)*((H107/$F$13)-($C$18/(PI()))*SIN((PI()*H107)/$F$13))+$D$3*H107)</f>
        <v> </v>
      </c>
      <c r="J107" s="31" t="str">
        <f t="shared" si="14"/>
        <v> </v>
      </c>
      <c r="K107" s="31" t="str">
        <f t="shared" si="11"/>
        <v> </v>
      </c>
      <c r="L107" s="31" t="str">
        <f>IF(K107=" "," ",($L$26-$D$3*$F$12)*((K107/$F$12)-($C$18/(PI()))*SIN((PI()*K107)/$F$12))+$D$3*K107)</f>
        <v> </v>
      </c>
      <c r="M107" s="31" t="str">
        <f t="shared" si="15"/>
        <v> 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 t="str">
        <f t="shared" si="10"/>
        <v> </v>
      </c>
      <c r="I108" s="31" t="str">
        <f>IF(H108=" "," ",($I$26-$D$3*$F$13)*((H108/$F$13)-($C$18/(PI()))*SIN((PI()*H108)/$F$13))+$D$3*H108)</f>
        <v> </v>
      </c>
      <c r="J108" s="31" t="str">
        <f t="shared" si="14"/>
        <v> 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 t="str">
        <f t="shared" si="10"/>
        <v> </v>
      </c>
      <c r="I109" s="31" t="str">
        <f>IF(H109=" "," ",($I$26-$D$3*$F$13)*((H109/$F$13)-($C$18/(PI()))*SIN((PI()*H109)/$F$13))+$D$3*H109)</f>
        <v> </v>
      </c>
      <c r="J109" s="31" t="str">
        <f t="shared" si="14"/>
        <v> 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 t="str">
        <f t="shared" si="10"/>
        <v> </v>
      </c>
      <c r="I110" s="31" t="str">
        <f>IF(H110=" "," ",($I$26-$D$3*$F$13)*((H110/$F$13)-($C$18/(PI()))*SIN((PI()*H110)/$F$13))+$D$3*H110)</f>
        <v> </v>
      </c>
      <c r="J110" s="31" t="str">
        <f t="shared" si="14"/>
        <v> 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 t="str">
        <f t="shared" si="10"/>
        <v> </v>
      </c>
      <c r="I111" s="31" t="str">
        <f>IF(H111=" "," ",($I$26-$D$3*$F$13)*((H111/$F$13)-($C$18/(PI()))*SIN((PI()*H111)/$F$13))+$D$3*H111)</f>
        <v> </v>
      </c>
      <c r="J111" s="31" t="str">
        <f t="shared" si="14"/>
        <v> 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 t="str">
        <f t="shared" si="10"/>
        <v> </v>
      </c>
      <c r="I112" s="31" t="str">
        <f>IF(H112=" "," ",($I$26-$D$3*$F$13)*((H112/$F$13)-($C$18/(PI()))*SIN((PI()*H112)/$F$13))+$D$3*H112)</f>
        <v> </v>
      </c>
      <c r="J112" s="31" t="str">
        <f t="shared" si="14"/>
        <v> 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 t="str">
        <f t="shared" si="10"/>
        <v> </v>
      </c>
      <c r="I113" s="31" t="str">
        <f>IF(H113=" "," ",($I$26-$D$3*$F$13)*((H113/$F$13)-($C$18/(PI()))*SIN((PI()*H113)/$F$13))+$D$3*H113)</f>
        <v> </v>
      </c>
      <c r="J113" s="31" t="str">
        <f t="shared" si="14"/>
        <v> 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 t="str">
        <f t="shared" si="10"/>
        <v> </v>
      </c>
      <c r="I114" s="31" t="str">
        <f>IF(H114=" "," ",($I$26-$D$3*$F$13)*((H114/$F$13)-($C$18/(PI()))*SIN((PI()*H114)/$F$13))+$D$3*H114)</f>
        <v> </v>
      </c>
      <c r="J114" s="31" t="str">
        <f t="shared" si="14"/>
        <v> 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 t="str">
        <f t="shared" si="10"/>
        <v> </v>
      </c>
      <c r="I115" s="31" t="str">
        <f>IF(H115=" "," ",($I$26-$D$3*$F$13)*((H115/$F$13)-($C$18/(PI()))*SIN((PI()*H115)/$F$13))+$D$3*H115)</f>
        <v> </v>
      </c>
      <c r="J115" s="31" t="str">
        <f t="shared" si="14"/>
        <v> 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 t="str">
        <f t="shared" si="10"/>
        <v> </v>
      </c>
      <c r="I116" s="31" t="str">
        <f>IF(H116=" "," ",($I$26-$D$3*$F$13)*((H116/$F$13)-($C$18/(PI()))*SIN((PI()*H116)/$F$13))+$D$3*H116)</f>
        <v> </v>
      </c>
      <c r="J116" s="31" t="str">
        <f t="shared" si="14"/>
        <v> 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 t="str">
        <f t="shared" si="10"/>
        <v> </v>
      </c>
      <c r="I117" s="31" t="str">
        <f>IF(H117=" "," ",($I$26-$D$3*$F$13)*((H117/$F$13)-($C$18/(PI()))*SIN((PI()*H117)/$F$13))+$D$3*H117)</f>
        <v> </v>
      </c>
      <c r="J117" s="31" t="str">
        <f t="shared" si="14"/>
        <v> 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 t="str">
        <f t="shared" si="10"/>
        <v> </v>
      </c>
      <c r="I118" s="31" t="str">
        <f>IF(H118=" "," ",($I$26-$D$3*$F$13)*((H118/$F$13)-($C$18/(PI()))*SIN((PI()*H118)/$F$13))+$D$3*H118)</f>
        <v> </v>
      </c>
      <c r="J118" s="31" t="str">
        <f t="shared" si="14"/>
        <v> 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 t="str">
        <f t="shared" si="10"/>
        <v> </v>
      </c>
      <c r="I119" s="31" t="str">
        <f>IF(H119=" "," ",($I$26-$D$3*$F$13)*((H119/$F$13)-($C$18/(PI()))*SIN((PI()*H119)/$F$13))+$D$3*H119)</f>
        <v> </v>
      </c>
      <c r="J119" s="31" t="str">
        <f t="shared" si="14"/>
        <v> 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 t="str">
        <f t="shared" si="10"/>
        <v> </v>
      </c>
      <c r="I120" s="31" t="str">
        <f>IF(H120=" "," ",($I$26-$D$3*$F$13)*((H120/$F$13)-($C$18/(PI()))*SIN((PI()*H120)/$F$13))+$D$3*H120)</f>
        <v> </v>
      </c>
      <c r="J120" s="31" t="str">
        <f t="shared" si="14"/>
        <v> 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 t="str">
        <f t="shared" si="10"/>
        <v> </v>
      </c>
      <c r="I121" s="31" t="str">
        <f>IF(H121=" "," ",($I$26-$D$3*$F$13)*((H121/$F$13)-($C$18/(PI()))*SIN((PI()*H121)/$F$13))+$D$3*H121)</f>
        <v> </v>
      </c>
      <c r="J121" s="31" t="str">
        <f t="shared" si="14"/>
        <v> 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 t="str">
        <f t="shared" si="10"/>
        <v> </v>
      </c>
      <c r="I122" s="31" t="str">
        <f>IF(H122=" "," ",($I$26-$D$3*$F$13)*((H122/$F$13)-($C$18/(PI()))*SIN((PI()*H122)/$F$13))+$D$3*H122)</f>
        <v> </v>
      </c>
      <c r="J122" s="31" t="str">
        <f t="shared" si="14"/>
        <v> 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 t="str">
        <f t="shared" si="10"/>
        <v> </v>
      </c>
      <c r="I123" s="31" t="str">
        <f>IF(H123=" "," ",($I$26-$D$3*$F$13)*((H123/$F$13)-($C$18/(PI()))*SIN((PI()*H123)/$F$13))+$D$3*H123)</f>
        <v> </v>
      </c>
      <c r="J123" s="31" t="str">
        <f t="shared" si="14"/>
        <v> 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 t="str">
        <f t="shared" si="10"/>
        <v> </v>
      </c>
      <c r="I124" s="31" t="str">
        <f>IF(H124=" "," ",($I$26-$D$3*$F$13)*((H124/$F$13)-($C$18/(PI()))*SIN((PI()*H124)/$F$13))+$D$3*H124)</f>
        <v> </v>
      </c>
      <c r="J124" s="31" t="str">
        <f t="shared" si="14"/>
        <v> 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 t="str">
        <f t="shared" si="10"/>
        <v> </v>
      </c>
      <c r="I125" s="31" t="str">
        <f>IF(H125=" "," ",($I$26-$D$3*$F$13)*((H125/$F$13)-($C$18/(PI()))*SIN((PI()*H125)/$F$13))+$D$3*H125)</f>
        <v> </v>
      </c>
      <c r="J125" s="31" t="str">
        <f t="shared" si="14"/>
        <v> 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 t="str">
        <f t="shared" si="10"/>
        <v> </v>
      </c>
      <c r="I126" s="31" t="str">
        <f>IF(H126=" "," ",($I$26-$D$3*$F$13)*((H126/$F$13)-($C$18/(PI()))*SIN((PI()*H126)/$F$13))+$D$3*H126)</f>
        <v> </v>
      </c>
      <c r="J126" s="31" t="str">
        <f t="shared" si="14"/>
        <v> 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E21" sqref="E21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0.0068</v>
      </c>
      <c r="C3" s="7" t="s">
        <v>112</v>
      </c>
      <c r="D3" s="8">
        <v>0.0068</v>
      </c>
      <c r="E3" s="7" t="s">
        <v>113</v>
      </c>
      <c r="F3" s="8">
        <f>D3*9</f>
        <v>0.0612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1.5096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346</v>
      </c>
      <c r="C8" s="11" t="s">
        <v>125</v>
      </c>
      <c r="D8" s="12">
        <f>D7/B3</f>
        <v>222</v>
      </c>
      <c r="E8" s="7" t="s">
        <v>126</v>
      </c>
      <c r="F8" s="34">
        <v>62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62</v>
      </c>
      <c r="C9" s="13"/>
      <c r="D9" s="14"/>
      <c r="E9" s="7" t="s">
        <v>130</v>
      </c>
      <c r="F9" s="34">
        <v>62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3.0056</v>
      </c>
      <c r="E11" s="7"/>
      <c r="J11" s="41" t="s">
        <v>134</v>
      </c>
      <c r="K11" s="42">
        <f>(B3*K9)/K3</f>
        <v>2.1664343836393</v>
      </c>
    </row>
    <row r="12" ht="15.15" spans="1:11">
      <c r="A12" s="11" t="s">
        <v>135</v>
      </c>
      <c r="B12" s="12">
        <f>D12+F13+F12</f>
        <v>581</v>
      </c>
      <c r="C12" s="15" t="s">
        <v>136</v>
      </c>
      <c r="D12" s="12">
        <f>D11/D3</f>
        <v>442</v>
      </c>
      <c r="E12" s="7" t="s">
        <v>137</v>
      </c>
      <c r="F12" s="34">
        <v>62</v>
      </c>
      <c r="G12" t="s">
        <v>127</v>
      </c>
      <c r="J12" s="43" t="s">
        <v>138</v>
      </c>
      <c r="K12" s="29">
        <f>(1-EXP(-1*K11/25))</f>
        <v>0.0830087743824687</v>
      </c>
    </row>
    <row r="13" ht="15.15" spans="1:7">
      <c r="A13" s="11" t="s">
        <v>139</v>
      </c>
      <c r="B13" s="12">
        <f>F12</f>
        <v>62</v>
      </c>
      <c r="C13" s="13"/>
      <c r="D13" s="14"/>
      <c r="E13" s="7" t="s">
        <v>140</v>
      </c>
      <c r="F13" s="34">
        <v>77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0.00068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50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1.196</v>
      </c>
      <c r="G20" s="35" t="s">
        <v>147</v>
      </c>
      <c r="H20" s="36">
        <f>(B8*B12*B16)/1000000</f>
        <v>10.0513</v>
      </c>
      <c r="I20">
        <v>0.54</v>
      </c>
    </row>
    <row r="21" spans="1:8">
      <c r="A21" s="24" t="s">
        <v>148</v>
      </c>
      <c r="B21" s="25"/>
      <c r="C21" s="26">
        <f>ROUND(MAX(C29:C529),3)</f>
        <v>1.196</v>
      </c>
      <c r="G21" s="35"/>
      <c r="H21" s="36"/>
    </row>
    <row r="22" spans="1:7">
      <c r="A22" s="24" t="s">
        <v>149</v>
      </c>
      <c r="B22" s="25"/>
      <c r="C22" s="26">
        <f>ROUND(MAX(M28:M528),3)</f>
        <v>1.197</v>
      </c>
      <c r="G22" s="37"/>
    </row>
    <row r="23" ht="15.15" spans="1:6">
      <c r="A23" s="27" t="s">
        <v>150</v>
      </c>
      <c r="B23" s="28"/>
      <c r="C23" s="29">
        <f>ROUND(MAX(J28:J528),3)</f>
        <v>1.198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11.2452</v>
      </c>
      <c r="D26" s="7" t="s">
        <v>155</v>
      </c>
      <c r="E26" s="9">
        <f>B4-D7*0.5</f>
        <v>11.2452</v>
      </c>
      <c r="H26" s="7" t="s">
        <v>155</v>
      </c>
      <c r="I26" s="9">
        <f>B11-(D4+D11*0.5)</f>
        <v>21.5972</v>
      </c>
      <c r="K26" s="7" t="s">
        <v>155</v>
      </c>
      <c r="L26" s="9">
        <f>D4-D11*0.5</f>
        <v>11.3972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0.00687469463458812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0.00687469463458812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0.00687592396928177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0.00687574360022408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0.0141973269801977</v>
      </c>
      <c r="C30" s="31">
        <f t="shared" ref="C30:C93" si="4">IF(A30=" "," ",(B30-B29)/(B29-B28))</f>
        <v>1.06515747023407</v>
      </c>
      <c r="D30" s="31">
        <f t="shared" si="1"/>
        <v>2</v>
      </c>
      <c r="E30" s="31">
        <f>IF(D30=" "," ",($E$26-$B$3*($F$8))*((D30/($F$8))-($C$18/(PI()))*SIN((PI()*D30)/($F$8)))+$B$3*D30)</f>
        <v>0.0141973269801977</v>
      </c>
      <c r="F30" s="31">
        <f t="shared" ref="F30:F93" si="5">IF(D30=" "," ",(E30-E29)/(E29-E28))</f>
        <v>1.06515747023407</v>
      </c>
      <c r="G30" s="31"/>
      <c r="H30" s="31">
        <f t="shared" si="2"/>
        <v>2</v>
      </c>
      <c r="I30" s="31">
        <f>IF(H30=" "," ",($I$26-$D$3*$F$13)*((H30/$F$13)-($C$18/(PI()))*SIN((PI()*H30)/$F$13))+$D$3*H30)</f>
        <v>0.014207240109103</v>
      </c>
      <c r="J30" s="31">
        <f t="shared" ref="J30:J93" si="6">IF(H30=" "," ",(I30-I29)/(I29-I28))</f>
        <v>1.06622996015866</v>
      </c>
      <c r="K30" s="31">
        <f t="shared" si="3"/>
        <v>2</v>
      </c>
      <c r="L30" s="31">
        <f>IF(K30=" "," ",($L$26-$D$3*$F$12)*((K30/$F$12)-($C$18/(PI()))*SIN((PI()*K30)/$F$12))+$D$3*K30)</f>
        <v>0.0142057154739512</v>
      </c>
      <c r="M30" s="31">
        <f t="shared" ref="M30:M93" si="7">IF(K30=" "," ",(L30-L29)/(L29-L28))</f>
        <v>1.0660624217413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0.0224146848981704</v>
      </c>
      <c r="C31" s="31">
        <f t="shared" si="4"/>
        <v>1.12218633001553</v>
      </c>
      <c r="D31" s="31">
        <f t="shared" si="1"/>
        <v>3</v>
      </c>
      <c r="E31" s="31">
        <f>IF(D31=" "," ",($E$26-$B$3*($F$8))*((D31/($F$8))-($C$18/(PI()))*SIN((PI()*D31)/($F$8)))+$B$3*D31)</f>
        <v>0.0224146848981704</v>
      </c>
      <c r="F31" s="31">
        <f t="shared" si="5"/>
        <v>1.12218633001553</v>
      </c>
      <c r="G31" s="31"/>
      <c r="H31" s="31">
        <f t="shared" si="2"/>
        <v>3</v>
      </c>
      <c r="I31" s="31">
        <f>IF(H31=" "," ",($I$26-$D$3*$F$13)*((H31/$F$13)-($C$18/(PI()))*SIN((PI()*H31)/$F$13))+$D$3*H31)</f>
        <v>0.0224485826346777</v>
      </c>
      <c r="J31" s="31">
        <f t="shared" si="6"/>
        <v>1.12412865144505</v>
      </c>
      <c r="K31" s="31">
        <f t="shared" si="3"/>
        <v>3</v>
      </c>
      <c r="L31" s="31">
        <f>IF(K31=" "," ",($L$26-$D$3*$F$12)*((K31/$F$12)-($C$18/(PI()))*SIN((PI()*K31)/$F$12))+$D$3*K31)</f>
        <v>0.0224429778972208</v>
      </c>
      <c r="M31" s="31">
        <f t="shared" si="7"/>
        <v>1.12377817612023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0.0319712595021361</v>
      </c>
      <c r="C32" s="31">
        <f t="shared" si="4"/>
        <v>1.16297412128829</v>
      </c>
      <c r="D32" s="31">
        <f t="shared" si="1"/>
        <v>4</v>
      </c>
      <c r="E32" s="31">
        <f>IF(D32=" "," ",($E$26-$B$3*($F$8))*((D32/($F$8))-($C$18/(PI()))*SIN((PI()*D32)/($F$8)))+$B$3*D32)</f>
        <v>0.0319712595021361</v>
      </c>
      <c r="F32" s="31">
        <f t="shared" si="5"/>
        <v>1.16297412128829</v>
      </c>
      <c r="G32" s="31"/>
      <c r="H32" s="31">
        <f t="shared" si="2"/>
        <v>4</v>
      </c>
      <c r="I32" s="31">
        <f>IF(H32=" "," ",($I$26-$D$3*$F$13)*((H32/$F$13)-($C$18/(PI()))*SIN((PI()*H32)/$F$13))+$D$3*H32)</f>
        <v>0.0320530711121101</v>
      </c>
      <c r="J32" s="31">
        <f t="shared" si="6"/>
        <v>1.16540338514359</v>
      </c>
      <c r="K32" s="31">
        <f t="shared" si="3"/>
        <v>4</v>
      </c>
      <c r="L32" s="31">
        <f>IF(K32=" "," ",($L$26-$D$3*$F$12)*((K32/$F$12)-($C$18/(PI()))*SIN((PI()*K32)/$F$12))+$D$3*K32)</f>
        <v>0.0320382641442445</v>
      </c>
      <c r="M32" s="31">
        <f t="shared" si="7"/>
        <v>1.16486348910261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0.0433081041556982</v>
      </c>
      <c r="C33" s="31">
        <f t="shared" si="4"/>
        <v>1.18628746421942</v>
      </c>
      <c r="D33" s="31">
        <f t="shared" si="1"/>
        <v>5</v>
      </c>
      <c r="E33" s="31">
        <f>IF(D33=" "," ",($E$26-$B$3*($F$8))*((D33/($F$8))-($C$18/(PI()))*SIN((PI()*D33)/($F$8)))+$B$3*D33)</f>
        <v>0.0433081041556982</v>
      </c>
      <c r="F33" s="31">
        <f t="shared" si="5"/>
        <v>1.18628746421942</v>
      </c>
      <c r="G33" s="31"/>
      <c r="H33" s="31">
        <f t="shared" si="2"/>
        <v>5</v>
      </c>
      <c r="I33" s="31">
        <f>IF(H33=" "," ",($I$26-$D$3*$F$13)*((H33/$F$13)-($C$18/(PI()))*SIN((PI()*H33)/$F$13))+$D$3*H33)</f>
        <v>0.0434715562855955</v>
      </c>
      <c r="J33" s="31">
        <f t="shared" si="6"/>
        <v>1.1888696832023</v>
      </c>
      <c r="K33" s="31">
        <f t="shared" si="3"/>
        <v>5</v>
      </c>
      <c r="L33" s="31">
        <f>IF(K33=" "," ",($L$26-$D$3*$F$12)*((K33/$F$12)-($C$18/(PI()))*SIN((PI()*K33)/$F$12))+$D$3*K33)</f>
        <v>0.0434388214615545</v>
      </c>
      <c r="M33" s="31">
        <f t="shared" si="7"/>
        <v>1.18814145027161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0.0568617022947766</v>
      </c>
      <c r="C34" s="31">
        <f t="shared" si="4"/>
        <v>1.19553531456566</v>
      </c>
      <c r="D34" s="31">
        <f t="shared" si="1"/>
        <v>6</v>
      </c>
      <c r="E34" s="31">
        <f>IF(D34=" "," ",($E$26-$B$3*($F$8))*((D34/($F$8))-($C$18/(PI()))*SIN((PI()*D34)/($F$8)))+$B$3*D34)</f>
        <v>0.0568617022947766</v>
      </c>
      <c r="F34" s="31">
        <f t="shared" si="5"/>
        <v>1.19553531456566</v>
      </c>
      <c r="G34" s="31"/>
      <c r="H34" s="31">
        <f t="shared" si="2"/>
        <v>6</v>
      </c>
      <c r="I34" s="31">
        <f>IF(H34=" "," ",($I$26-$D$3*$F$13)*((H34/$F$13)-($C$18/(PI()))*SIN((PI()*H34)/$F$13))+$D$3*H34)</f>
        <v>0.0571518696808514</v>
      </c>
      <c r="J34" s="31">
        <f t="shared" si="6"/>
        <v>1.19808478860425</v>
      </c>
      <c r="K34" s="31">
        <f t="shared" si="3"/>
        <v>6</v>
      </c>
      <c r="L34" s="31">
        <f>IF(K34=" "," ",($L$26-$D$3*$F$12)*((K34/$F$12)-($C$18/(PI()))*SIN((PI()*K34)/$F$12))+$D$3*K34)</f>
        <v>0.0570872629907378</v>
      </c>
      <c r="M34" s="31">
        <f t="shared" si="7"/>
        <v>1.19717318630207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0.0730628469808858</v>
      </c>
      <c r="C35" s="31">
        <f t="shared" si="4"/>
        <v>1.19533901771791</v>
      </c>
      <c r="D35" s="31">
        <f t="shared" si="1"/>
        <v>7</v>
      </c>
      <c r="E35" s="31">
        <f>IF(D35=" "," ",($E$26-$B$3*($F$8))*((D35/($F$8))-($C$18/(PI()))*SIN((PI()*D35)/($F$8)))+$B$3*D35)</f>
        <v>0.0730628469808858</v>
      </c>
      <c r="F35" s="31">
        <f t="shared" si="5"/>
        <v>1.19533901771791</v>
      </c>
      <c r="G35" s="31"/>
      <c r="H35" s="31">
        <f t="shared" si="2"/>
        <v>7</v>
      </c>
      <c r="I35" s="31">
        <f>IF(H35=" "," ",($I$26-$D$3*$F$13)*((H35/$F$13)-($C$18/(PI()))*SIN((PI()*H35)/$F$13))+$D$3*H35)</f>
        <v>0.0735380782337366</v>
      </c>
      <c r="J35" s="31">
        <f t="shared" si="6"/>
        <v>1.19779482234432</v>
      </c>
      <c r="K35" s="31">
        <f t="shared" si="3"/>
        <v>7</v>
      </c>
      <c r="L35" s="31">
        <f>IF(K35=" "," ",($L$26-$D$3*$F$12)*((K35/$F$12)-($C$18/(PI()))*SIN((PI()*K35)/$F$12))+$D$3*K35)</f>
        <v>0.0734204315868482</v>
      </c>
      <c r="M35" s="31">
        <f t="shared" si="7"/>
        <v>1.19670576022812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0.0923355350615265</v>
      </c>
      <c r="C36" s="31">
        <f t="shared" si="4"/>
        <v>1.18958804788435</v>
      </c>
      <c r="D36" s="31">
        <f t="shared" si="1"/>
        <v>8</v>
      </c>
      <c r="E36" s="31">
        <f>IF(D36=" "," ",($E$26-$B$3*($F$8))*((D36/($F$8))-($C$18/(PI()))*SIN((PI()*D36)/($F$8)))+$B$3*D36)</f>
        <v>0.0923355350615265</v>
      </c>
      <c r="F36" s="31">
        <f t="shared" si="5"/>
        <v>1.18958804788435</v>
      </c>
      <c r="G36" s="31"/>
      <c r="H36" s="31">
        <f t="shared" si="2"/>
        <v>8</v>
      </c>
      <c r="I36" s="31">
        <f>IF(H36=" "," ",($I$26-$D$3*$F$13)*((H36/$F$13)-($C$18/(PI()))*SIN((PI()*H36)/$F$13))+$D$3*H36)</f>
        <v>0.0930697451846631</v>
      </c>
      <c r="J36" s="31">
        <f t="shared" si="6"/>
        <v>1.1919576690294</v>
      </c>
      <c r="K36" s="31">
        <f t="shared" si="3"/>
        <v>8</v>
      </c>
      <c r="L36" s="31">
        <f>IF(K36=" "," ",($L$26-$D$3*$F$12)*((K36/$F$12)-($C$18/(PI()))*SIN((PI()*K36)/$F$12))+$D$3*K36)</f>
        <v>0.0928682784490641</v>
      </c>
      <c r="M36" s="31">
        <f t="shared" si="7"/>
        <v>1.19069651107668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0.115095878776357</v>
      </c>
      <c r="C37" s="31">
        <f t="shared" si="4"/>
        <v>1.18096363203706</v>
      </c>
      <c r="D37" s="31">
        <f t="shared" si="1"/>
        <v>9</v>
      </c>
      <c r="E37" s="31">
        <f>IF(D37=" "," ",($E$26-$B$3*($F$8))*((D37/($F$8))-($C$18/(PI()))*SIN((PI()*D37)/($F$8)))+$B$3*D37)</f>
        <v>0.115095878776357</v>
      </c>
      <c r="F37" s="31">
        <f t="shared" si="5"/>
        <v>1.18096363203706</v>
      </c>
      <c r="G37" s="31"/>
      <c r="H37" s="31">
        <f t="shared" si="2"/>
        <v>9</v>
      </c>
      <c r="I37" s="31">
        <f>IF(H37=" "," ",($I$26-$D$3*$F$13)*((H37/$F$13)-($C$18/(PI()))*SIN((PI()*H37)/$F$13))+$D$3*H37)</f>
        <v>0.116181198468963</v>
      </c>
      <c r="J37" s="31">
        <f t="shared" si="6"/>
        <v>1.18328114760338</v>
      </c>
      <c r="K37" s="31">
        <f t="shared" si="3"/>
        <v>9</v>
      </c>
      <c r="L37" s="31">
        <f>IF(K37=" "," ",($L$26-$D$3*$F$12)*((K37/$F$12)-($C$18/(PI()))*SIN((PI()*K37)/$F$12))+$D$3*K37)</f>
        <v>0.115852759442125</v>
      </c>
      <c r="M37" s="31">
        <f t="shared" si="7"/>
        <v>1.18185222024328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0.141751037603044</v>
      </c>
      <c r="C38" s="31">
        <f t="shared" si="4"/>
        <v>1.17112286003474</v>
      </c>
      <c r="D38" s="31">
        <f t="shared" si="1"/>
        <v>10</v>
      </c>
      <c r="E38" s="31">
        <f>IF(D38=" "," ",($E$26-$B$3*($F$8))*((D38/($F$8))-($C$18/(PI()))*SIN((PI()*D38)/($F$8)))+$B$3*D38)</f>
        <v>0.141751037603044</v>
      </c>
      <c r="F38" s="31">
        <f t="shared" si="5"/>
        <v>1.17112286003474</v>
      </c>
      <c r="G38" s="31"/>
      <c r="H38" s="31">
        <f t="shared" si="2"/>
        <v>10</v>
      </c>
      <c r="I38" s="31">
        <f>IF(H38=" "," ",($I$26-$D$3*$F$13)*((H38/$F$13)-($C$18/(PI()))*SIN((PI()*H38)/$F$13))+$D$3*H38)</f>
        <v>0.143300807820899</v>
      </c>
      <c r="J38" s="31">
        <f t="shared" si="6"/>
        <v>1.17342726216011</v>
      </c>
      <c r="K38" s="31">
        <f t="shared" si="3"/>
        <v>10</v>
      </c>
      <c r="L38" s="31">
        <f>IF(K38=" "," ",($L$26-$D$3*$F$12)*((K38/$F$12)-($C$18/(PI()))*SIN((PI()*K38)/$F$12))+$D$3*K38)</f>
        <v>0.14278675194168</v>
      </c>
      <c r="M38" s="31">
        <f t="shared" si="7"/>
        <v>1.17183383465068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0.172698173084721</v>
      </c>
      <c r="C39" s="31">
        <f t="shared" si="4"/>
        <v>1.16101861117759</v>
      </c>
      <c r="D39" s="31">
        <f t="shared" si="1"/>
        <v>11</v>
      </c>
      <c r="E39" s="31">
        <f>IF(D39=" "," ",($E$26-$B$3*($F$8))*((D39/($F$8))-($C$18/(PI()))*SIN((PI()*D39)/($F$8)))+$B$3*D39)</f>
        <v>0.172698173084721</v>
      </c>
      <c r="F39" s="31">
        <f t="shared" si="5"/>
        <v>1.16101861117759</v>
      </c>
      <c r="G39" s="31"/>
      <c r="H39" s="31">
        <f t="shared" si="2"/>
        <v>11</v>
      </c>
      <c r="I39" s="31">
        <f>IF(H39=" "," ",($I$26-$D$3*$F$13)*((H39/$F$13)-($C$18/(PI()))*SIN((PI()*H39)/$F$13))+$D$3*H39)</f>
        <v>0.174850271794528</v>
      </c>
      <c r="J39" s="31">
        <f t="shared" si="6"/>
        <v>1.16334507493102</v>
      </c>
      <c r="K39" s="31">
        <f t="shared" si="3"/>
        <v>11</v>
      </c>
      <c r="L39" s="31">
        <f>IF(K39=" "," ",($L$26-$D$3*$F$12)*((K39/$F$12)-($C$18/(PI()))*SIN((PI()*K39)/$F$12))+$D$3*K39)</f>
        <v>0.174072994983985</v>
      </c>
      <c r="M39" s="31">
        <f t="shared" si="7"/>
        <v>1.16158950600521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0.208323429322004</v>
      </c>
      <c r="C40" s="31">
        <f t="shared" si="4"/>
        <v>1.15116490372348</v>
      </c>
      <c r="D40" s="31">
        <f t="shared" si="1"/>
        <v>12</v>
      </c>
      <c r="E40" s="31">
        <f>IF(D40=" "," ",($E$26-$B$3*($F$8))*((D40/($F$8))-($C$18/(PI()))*SIN((PI()*D40)/($F$8)))+$B$3*D40)</f>
        <v>0.208323429322004</v>
      </c>
      <c r="F40" s="31">
        <f t="shared" si="5"/>
        <v>1.15116490372348</v>
      </c>
      <c r="G40" s="31"/>
      <c r="H40" s="31">
        <f t="shared" si="2"/>
        <v>12</v>
      </c>
      <c r="I40" s="31">
        <f>IF(H40=" "," ",($I$26-$D$3*$F$13)*((H40/$F$13)-($C$18/(PI()))*SIN((PI()*H40)/$F$13))+$D$3*H40)</f>
        <v>0.21124391588806</v>
      </c>
      <c r="J40" s="31">
        <f t="shared" si="6"/>
        <v>1.15354239057603</v>
      </c>
      <c r="K40" s="31">
        <f t="shared" si="3"/>
        <v>12</v>
      </c>
      <c r="L40" s="31">
        <f>IF(K40=" "," ",($L$26-$D$3*$F$12)*((K40/$F$12)-($C$18/(PI()))*SIN((PI()*K40)/$F$12))+$D$3*K40)</f>
        <v>0.210103055440573</v>
      </c>
      <c r="M40" s="31">
        <f t="shared" si="7"/>
        <v>1.15162630450282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0.249000941746625</v>
      </c>
      <c r="C41" s="31">
        <f t="shared" si="4"/>
        <v>1.14181669750494</v>
      </c>
      <c r="D41" s="31">
        <f t="shared" si="1"/>
        <v>13</v>
      </c>
      <c r="E41" s="31">
        <f>IF(D41=" "," ",($E$26-$B$3*($F$8))*((D41/($F$8))-($C$18/(PI()))*SIN((PI()*D41)/($F$8)))+$B$3*D41)</f>
        <v>0.249000941746625</v>
      </c>
      <c r="F41" s="31">
        <f t="shared" si="5"/>
        <v>1.14181669750494</v>
      </c>
      <c r="G41" s="31"/>
      <c r="H41" s="31">
        <f t="shared" si="2"/>
        <v>13</v>
      </c>
      <c r="I41" s="31">
        <f>IF(H41=" "," ",($I$26-$D$3*$F$13)*((H41/$F$13)-($C$18/(PI()))*SIN((PI()*H41)/$F$13))+$D$3*H41)</f>
        <v>0.252888002939967</v>
      </c>
      <c r="J41" s="31">
        <f t="shared" si="6"/>
        <v>1.14426812948111</v>
      </c>
      <c r="K41" s="31">
        <f t="shared" si="3"/>
        <v>13</v>
      </c>
      <c r="L41" s="31">
        <f>IF(K41=" "," ",($L$26-$D$3*$F$12)*((K41/$F$12)-($C$18/(PI()))*SIN((PI()*K41)/$F$12))+$D$3*K41)</f>
        <v>0.251256322871712</v>
      </c>
      <c r="M41" s="31">
        <f t="shared" si="7"/>
        <v>1.1421925722474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0.295091876721141</v>
      </c>
      <c r="C42" s="31">
        <f t="shared" si="4"/>
        <v>1.13308145526171</v>
      </c>
      <c r="D42" s="31">
        <f t="shared" si="1"/>
        <v>14</v>
      </c>
      <c r="E42" s="31">
        <f>IF(D42=" "," ",($E$26-$B$3*($F$8))*((D42/($F$8))-($C$18/(PI()))*SIN((PI()*D42)/($F$8)))+$B$3*D42)</f>
        <v>0.295091876721141</v>
      </c>
      <c r="F42" s="31">
        <f t="shared" si="5"/>
        <v>1.13308145526171</v>
      </c>
      <c r="G42" s="31"/>
      <c r="H42" s="31">
        <f t="shared" si="2"/>
        <v>14</v>
      </c>
      <c r="I42" s="31">
        <f>IF(H42=" "," ",($I$26-$D$3*$F$13)*((H42/$F$13)-($C$18/(PI()))*SIN((PI()*H42)/$F$13))+$D$3*H42)</f>
        <v>0.300180056944581</v>
      </c>
      <c r="J42" s="31">
        <f t="shared" si="6"/>
        <v>1.13562470335024</v>
      </c>
      <c r="K42" s="31">
        <f t="shared" si="3"/>
        <v>14</v>
      </c>
      <c r="L42" s="31">
        <f>IF(K42=" "," ",($L$26-$D$3*$F$12)*((K42/$F$12)-($C$18/(PI()))*SIN((PI()*K42)/$F$12))+$D$3*K42)</f>
        <v>0.297899035638841</v>
      </c>
      <c r="M42" s="31">
        <f t="shared" si="7"/>
        <v>1.13339026713191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0.346943504430066</v>
      </c>
      <c r="C43" s="31">
        <f t="shared" si="4"/>
        <v>1.12498537375285</v>
      </c>
      <c r="D43" s="31">
        <f t="shared" si="1"/>
        <v>15</v>
      </c>
      <c r="E43" s="31">
        <f>IF(D43=" "," ",($E$26-$B$3*($F$8))*((D43/($F$8))-($C$18/(PI()))*SIN((PI()*D43)/($F$8)))+$B$3*D43)</f>
        <v>0.346943504430066</v>
      </c>
      <c r="F43" s="31">
        <f t="shared" si="5"/>
        <v>1.12498537375285</v>
      </c>
      <c r="G43" s="31"/>
      <c r="H43" s="31">
        <f t="shared" si="2"/>
        <v>15</v>
      </c>
      <c r="I43" s="31">
        <f>IF(H43=" "," ",($I$26-$D$3*$F$13)*((H43/$F$13)-($C$18/(PI()))*SIN((PI()*H43)/$F$13))+$D$3*H43)</f>
        <v>0.353508201412629</v>
      </c>
      <c r="J43" s="31">
        <f t="shared" si="6"/>
        <v>1.1276343476823</v>
      </c>
      <c r="K43" s="31">
        <f t="shared" si="3"/>
        <v>15</v>
      </c>
      <c r="L43" s="31">
        <f>IF(K43=" "," ",($L$26-$D$3*$F$12)*((K43/$F$12)-($C$18/(PI()))*SIN((PI()*K43)/$F$12))+$D$3*K43)</f>
        <v>0.350383340775955</v>
      </c>
      <c r="M43" s="31">
        <f t="shared" si="7"/>
        <v>1.12524126542875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0.404888307442281</v>
      </c>
      <c r="C44" s="31">
        <f t="shared" si="4"/>
        <v>1.1175117459667</v>
      </c>
      <c r="D44" s="31">
        <f t="shared" si="1"/>
        <v>16</v>
      </c>
      <c r="E44" s="31">
        <f>IF(D44=" "," ",($E$26-$B$3*($F$8))*((D44/($F$8))-($C$18/(PI()))*SIN((PI()*D44)/($F$8)))+$B$3*D44)</f>
        <v>0.404888307442281</v>
      </c>
      <c r="F44" s="31">
        <f t="shared" si="5"/>
        <v>1.1175117459667</v>
      </c>
      <c r="G44" s="31"/>
      <c r="H44" s="31">
        <f t="shared" si="2"/>
        <v>16</v>
      </c>
      <c r="I44" s="31">
        <f>IF(H44=" "," ",($I$26-$D$3*$F$13)*((H44/$F$13)-($C$18/(PI()))*SIN((PI()*H44)/$F$13))+$D$3*H44)</f>
        <v>0.413250513377963</v>
      </c>
      <c r="J44" s="31">
        <f t="shared" si="6"/>
        <v>1.12027734250397</v>
      </c>
      <c r="K44" s="31">
        <f t="shared" si="3"/>
        <v>16</v>
      </c>
      <c r="L44" s="31">
        <f>IF(K44=" "," ",($L$26-$D$3*$F$12)*((K44/$F$12)-($C$18/(PI()))*SIN((PI()*K44)/$F$12))+$D$3*K44)</f>
        <v>0.409046390033214</v>
      </c>
      <c r="M44" s="31">
        <f t="shared" si="7"/>
        <v>1.1177255582217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0.469243127233057</v>
      </c>
      <c r="C45" s="31">
        <f t="shared" si="4"/>
        <v>1.11062280731559</v>
      </c>
      <c r="D45" s="31">
        <f t="shared" si="1"/>
        <v>17</v>
      </c>
      <c r="E45" s="31">
        <f>IF(D45=" "," ",($E$26-$B$3*($F$8))*((D45/($F$8))-($C$18/(PI()))*SIN((PI()*D45)/($F$8)))+$B$3*D45)</f>
        <v>0.469243127233057</v>
      </c>
      <c r="F45" s="31">
        <f t="shared" si="5"/>
        <v>1.11062280731559</v>
      </c>
      <c r="G45" s="31"/>
      <c r="H45" s="31">
        <f t="shared" si="2"/>
        <v>17</v>
      </c>
      <c r="I45" s="31">
        <f>IF(H45=" "," ",($I$26-$D$3*$F$13)*((H45/$F$13)-($C$18/(PI()))*SIN((PI()*H45)/$F$13))+$D$3*H45)</f>
        <v>0.479774394125641</v>
      </c>
      <c r="J45" s="31">
        <f t="shared" si="6"/>
        <v>1.11351366492612</v>
      </c>
      <c r="K45" s="31">
        <f t="shared" si="3"/>
        <v>17</v>
      </c>
      <c r="L45" s="31">
        <f>IF(K45=" "," ",($L$26-$D$3*$F$12)*((K45/$F$12)-($C$18/(PI()))*SIN((PI()*K45)/$F$12))+$D$3*K45)</f>
        <v>0.474209474413239</v>
      </c>
      <c r="M45" s="31">
        <f t="shared" si="7"/>
        <v>1.11080288537782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0.540308350856526</v>
      </c>
      <c r="C46" s="31">
        <f t="shared" si="4"/>
        <v>1.10427196990855</v>
      </c>
      <c r="D46" s="31">
        <f t="shared" si="1"/>
        <v>18</v>
      </c>
      <c r="E46" s="31">
        <f>IF(D46=" "," ",($E$26-$B$3*($F$8))*((D46/($F$8))-($C$18/(PI()))*SIN((PI()*D46)/($F$8)))+$B$3*D46)</f>
        <v>0.540308350856526</v>
      </c>
      <c r="F46" s="31">
        <f t="shared" si="5"/>
        <v>1.10427196990855</v>
      </c>
      <c r="G46" s="31"/>
      <c r="H46" s="31">
        <f t="shared" si="2"/>
        <v>18</v>
      </c>
      <c r="I46" s="31">
        <f>IF(H46=" "," ",($I$26-$D$3*$F$13)*((H46/$F$13)-($C$18/(PI()))*SIN((PI()*H46)/$F$13))+$D$3*H46)</f>
        <v>0.553435957688752</v>
      </c>
      <c r="J46" s="31">
        <f t="shared" si="6"/>
        <v>1.10729504555675</v>
      </c>
      <c r="K46" s="31">
        <f t="shared" si="3"/>
        <v>18</v>
      </c>
      <c r="L46" s="31">
        <f>IF(K46=" "," ",($L$26-$D$3*$F$12)*((K46/$F$12)-($C$18/(PI()))*SIN((PI()*K46)/$F$12))+$D$3*K46)</f>
        <v>0.546177199421716</v>
      </c>
      <c r="M46" s="31">
        <f t="shared" si="7"/>
        <v>1.10442477812695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0.61836713985642</v>
      </c>
      <c r="C47" s="31">
        <f t="shared" si="4"/>
        <v>1.09841051670336</v>
      </c>
      <c r="D47" s="31">
        <f t="shared" si="1"/>
        <v>19</v>
      </c>
      <c r="E47" s="31">
        <f>IF(D47=" "," ",($E$26-$B$3*($F$8))*((D47/($F$8))-($C$18/(PI()))*SIN((PI()*D47)/($F$8)))+$B$3*D47)</f>
        <v>0.61836713985642</v>
      </c>
      <c r="F47" s="31">
        <f t="shared" si="5"/>
        <v>1.09841051670336</v>
      </c>
      <c r="G47" s="31"/>
      <c r="H47" s="31">
        <f t="shared" si="2"/>
        <v>19</v>
      </c>
      <c r="I47" s="31">
        <f>IF(H47=" "," ",($I$26-$D$3*$F$13)*((H47/$F$13)-($C$18/(PI()))*SIN((PI()*H47)/$F$13))+$D$3*H47)</f>
        <v>0.634579438131753</v>
      </c>
      <c r="J47" s="31">
        <f t="shared" si="6"/>
        <v>1.10157151868598</v>
      </c>
      <c r="K47" s="31">
        <f t="shared" si="3"/>
        <v>19</v>
      </c>
      <c r="L47" s="31">
        <f>IF(K47=" "," ",($L$26-$D$3*$F$12)*((K47/$F$12)-($C$18/(PI()))*SIN((PI()*K47)/$F$12))+$D$3*K47)</f>
        <v>0.625236703149426</v>
      </c>
      <c r="M47" s="31">
        <f t="shared" si="7"/>
        <v>1.0985410990607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0.703684703394456</v>
      </c>
      <c r="C48" s="31">
        <f t="shared" si="4"/>
        <v>1.09299112414044</v>
      </c>
      <c r="D48" s="31">
        <f t="shared" si="1"/>
        <v>20</v>
      </c>
      <c r="E48" s="31">
        <f>IF(D48=" "," ",($E$26-$B$3*($F$8))*((D48/($F$8))-($C$18/(PI()))*SIN((PI()*D48)/($F$8)))+$B$3*D48)</f>
        <v>0.703684703394456</v>
      </c>
      <c r="F48" s="31">
        <f t="shared" si="5"/>
        <v>1.09299112414044</v>
      </c>
      <c r="G48" s="31"/>
      <c r="H48" s="31">
        <f t="shared" si="2"/>
        <v>20</v>
      </c>
      <c r="I48" s="31">
        <f>IF(H48=" "," ",($I$26-$D$3*$F$13)*((H48/$F$13)-($C$18/(PI()))*SIN((PI()*H48)/$F$13))+$D$3*H48)</f>
        <v>0.723536616606833</v>
      </c>
      <c r="J48" s="31">
        <f t="shared" si="6"/>
        <v>1.09629483464871</v>
      </c>
      <c r="K48" s="31">
        <f t="shared" si="3"/>
        <v>20</v>
      </c>
      <c r="L48" s="31">
        <f>IF(K48=" "," ",($L$26-$D$3*$F$12)*((K48/$F$12)-($C$18/(PI()))*SIN((PI()*K48)/$F$12))+$D$3*K48)</f>
        <v>0.711656919192893</v>
      </c>
      <c r="M48" s="31">
        <f t="shared" si="7"/>
        <v>1.09310344700756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0.796507617462217</v>
      </c>
      <c r="C49" s="31">
        <f t="shared" si="4"/>
        <v>1.08796958350057</v>
      </c>
      <c r="D49" s="31">
        <f t="shared" si="1"/>
        <v>21</v>
      </c>
      <c r="E49" s="31">
        <f>IF(D49=" "," ",($E$26-$B$3*($F$8))*((D49/($F$8))-($C$18/(PI()))*SIN((PI()*D49)/($F$8)))+$B$3*D49)</f>
        <v>0.796507617462217</v>
      </c>
      <c r="F49" s="31">
        <f t="shared" si="5"/>
        <v>1.08796958350057</v>
      </c>
      <c r="G49" s="31"/>
      <c r="H49" s="31">
        <f t="shared" si="2"/>
        <v>21</v>
      </c>
      <c r="I49" s="31">
        <f>IF(H49=" "," ",($I$26-$D$3*$F$13)*((H49/$F$13)-($C$18/(PI()))*SIN((PI()*H49)/$F$13))+$D$3*H49)</f>
        <v>0.820626269136941</v>
      </c>
      <c r="J49" s="31">
        <f t="shared" si="6"/>
        <v>1.09142009891091</v>
      </c>
      <c r="K49" s="31">
        <f t="shared" si="3"/>
        <v>21</v>
      </c>
      <c r="L49" s="31">
        <f>IF(K49=" "," ",($L$26-$D$3*$F$12)*((K49/$F$12)-($C$18/(PI()))*SIN((PI()*K49)/$F$12))+$D$3*K49)</f>
        <v>0.805687886305694</v>
      </c>
      <c r="M49" s="31">
        <f t="shared" si="7"/>
        <v>1.08806679059338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0.897063191924117</v>
      </c>
      <c r="C50" s="31">
        <f t="shared" si="4"/>
        <v>1.08330551213351</v>
      </c>
      <c r="D50" s="31">
        <f t="shared" si="1"/>
        <v>22</v>
      </c>
      <c r="E50" s="31">
        <f>IF(D50=" "," ",($E$26-$B$3*($F$8))*((D50/($F$8))-($C$18/(PI()))*SIN((PI()*D50)/($F$8)))+$B$3*D50)</f>
        <v>0.897063191924117</v>
      </c>
      <c r="F50" s="31">
        <f t="shared" si="5"/>
        <v>1.08330551213351</v>
      </c>
      <c r="G50" s="31"/>
      <c r="H50" s="31">
        <f t="shared" si="2"/>
        <v>22</v>
      </c>
      <c r="I50" s="31">
        <f>IF(H50=" "," ",($I$26-$D$3*$F$13)*((H50/$F$13)-($C$18/(PI()))*SIN((PI()*H50)/$F$13))+$D$3*H50)</f>
        <v>0.926153636044542</v>
      </c>
      <c r="J50" s="31">
        <f t="shared" si="6"/>
        <v>1.08690642264763</v>
      </c>
      <c r="K50" s="31">
        <f t="shared" si="3"/>
        <v>22</v>
      </c>
      <c r="L50" s="31">
        <f>IF(K50=" "," ",($L$26-$D$3*$F$12)*((K50/$F$12)-($C$18/(PI()))*SIN((PI()*K50)/$F$12))+$D$3*K50)</f>
        <v>0.907560106552565</v>
      </c>
      <c r="M50" s="31">
        <f t="shared" si="7"/>
        <v>1.08339011471257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1.00555888701624</v>
      </c>
      <c r="C51" s="31">
        <f t="shared" si="4"/>
        <v>1.07896251075799</v>
      </c>
      <c r="D51" s="31">
        <f t="shared" si="1"/>
        <v>23</v>
      </c>
      <c r="E51" s="31">
        <f>IF(D51=" "," ",($E$26-$B$3*($F$8))*((D51/($F$8))-($C$18/(PI()))*SIN((PI()*D51)/($F$8)))+$B$3*D51)</f>
        <v>1.00555888701624</v>
      </c>
      <c r="F51" s="31">
        <f t="shared" si="5"/>
        <v>1.07896251075799</v>
      </c>
      <c r="G51" s="31"/>
      <c r="H51" s="31">
        <f t="shared" si="2"/>
        <v>23</v>
      </c>
      <c r="I51" s="31">
        <f>IF(H51=" "," ",($I$26-$D$3*$F$13)*((H51/$F$13)-($C$18/(PI()))*SIN((PI()*H51)/$F$13))+$D$3*H51)</f>
        <v>1.04040991390923</v>
      </c>
      <c r="J51" s="31">
        <f t="shared" si="6"/>
        <v>1.08271703552248</v>
      </c>
      <c r="K51" s="31">
        <f t="shared" si="3"/>
        <v>23</v>
      </c>
      <c r="L51" s="31">
        <f>IF(K51=" "," ",($L$26-$D$3*$F$12)*((K51/$F$12)-($C$18/(PI()))*SIN((PI()*K51)/$F$12))+$D$3*K51)</f>
        <v>1.01748395361391</v>
      </c>
      <c r="M51" s="31">
        <f t="shared" si="7"/>
        <v>1.07903653022342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1.1221817807989</v>
      </c>
      <c r="C52" s="31">
        <f t="shared" si="4"/>
        <v>1.07490802914927</v>
      </c>
      <c r="D52" s="31">
        <f t="shared" si="1"/>
        <v>24</v>
      </c>
      <c r="E52" s="31">
        <f>IF(D52=" "," ",($E$26-$B$3*($F$8))*((D52/($F$8))-($C$18/(PI()))*SIN((PI()*D52)/($F$8)))+$B$3*D52)</f>
        <v>1.1221817807989</v>
      </c>
      <c r="F52" s="31">
        <f t="shared" si="5"/>
        <v>1.07490802914927</v>
      </c>
      <c r="G52" s="31"/>
      <c r="H52" s="31">
        <f t="shared" si="2"/>
        <v>24</v>
      </c>
      <c r="I52" s="31">
        <f>IF(H52=" "," ",($I$26-$D$3*$F$13)*((H52/$F$13)-($C$18/(PI()))*SIN((PI()*H52)/$F$13))+$D$3*H52)</f>
        <v>1.16367177089977</v>
      </c>
      <c r="J52" s="31">
        <f t="shared" si="6"/>
        <v>1.07881911868785</v>
      </c>
      <c r="K52" s="31">
        <f t="shared" si="3"/>
        <v>24</v>
      </c>
      <c r="L52" s="31">
        <f>IF(K52=" "," ",($L$26-$D$3*$F$12)*((K52/$F$12)-($C$18/(PI()))*SIN((PI()*K52)/$F$12))+$D$3*K52)</f>
        <v>1.13564913275956</v>
      </c>
      <c r="M52" s="31">
        <f t="shared" si="7"/>
        <v>1.07497310460501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1.24709808892991</v>
      </c>
      <c r="C53" s="31">
        <f t="shared" si="4"/>
        <v>1.07111309005773</v>
      </c>
      <c r="D53" s="31">
        <f t="shared" si="1"/>
        <v>25</v>
      </c>
      <c r="E53" s="31">
        <f>IF(D53=" "," ",($E$26-$B$3*($F$8))*((D53/($F$8))-($C$18/(PI()))*SIN((PI()*D53)/($F$8)))+$B$3*D53)</f>
        <v>1.24709808892991</v>
      </c>
      <c r="F53" s="31">
        <f t="shared" si="5"/>
        <v>1.07111309005773</v>
      </c>
      <c r="G53" s="31"/>
      <c r="H53" s="31">
        <f t="shared" si="2"/>
        <v>25</v>
      </c>
      <c r="I53" s="31">
        <f>IF(H53=" "," ",($I$26-$D$3*$F$13)*((H53/$F$13)-($C$18/(PI()))*SIN((PI()*H53)/$F$13))+$D$3*H53)</f>
        <v>1.29620088628722</v>
      </c>
      <c r="J53" s="31">
        <f t="shared" si="6"/>
        <v>1.07518350463936</v>
      </c>
      <c r="K53" s="31">
        <f t="shared" si="3"/>
        <v>25</v>
      </c>
      <c r="L53" s="31">
        <f>IF(K53=" "," ",($L$26-$D$3*$F$12)*((K53/$F$12)-($C$18/(PI()))*SIN((PI()*K53)/$F$12))+$D$3*K53)</f>
        <v>1.26222419387811</v>
      </c>
      <c r="M53" s="31">
        <f t="shared" si="7"/>
        <v>1.07117056000509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1.38045273799143</v>
      </c>
      <c r="C54" s="31">
        <f t="shared" si="4"/>
        <v>1.06755195583952</v>
      </c>
      <c r="D54" s="31">
        <f t="shared" si="1"/>
        <v>26</v>
      </c>
      <c r="E54" s="31">
        <f>IF(D54=" "," ",($E$26-$B$3*($F$8))*((D54/($F$8))-($C$18/(PI()))*SIN((PI()*D54)/($F$8)))+$B$3*D54)</f>
        <v>1.38045273799143</v>
      </c>
      <c r="F54" s="31">
        <f t="shared" si="5"/>
        <v>1.06755195583952</v>
      </c>
      <c r="G54" s="31"/>
      <c r="H54" s="31">
        <f t="shared" si="2"/>
        <v>26</v>
      </c>
      <c r="I54" s="31">
        <f>IF(H54=" "," ",($I$26-$D$3*$F$13)*((H54/$F$13)-($C$18/(PI()))*SIN((PI()*H54)/$F$13))+$D$3*H54)</f>
        <v>1.4382435149056</v>
      </c>
      <c r="J54" s="31">
        <f t="shared" si="6"/>
        <v>1.07178432605639</v>
      </c>
      <c r="K54" s="31">
        <f t="shared" si="3"/>
        <v>26</v>
      </c>
      <c r="L54" s="31">
        <f>IF(K54=" "," ",($L$26-$D$3*$F$12)*((K54/$F$12)-($C$18/(PI()))*SIN((PI()*K54)/$F$12))+$D$3*K54)</f>
        <v>1.39735609881174</v>
      </c>
      <c r="M54" s="31">
        <f t="shared" si="7"/>
        <v>1.06760292066585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1.52236899346544</v>
      </c>
      <c r="C55" s="31">
        <f t="shared" si="4"/>
        <v>1.06420178428535</v>
      </c>
      <c r="D55" s="31">
        <f t="shared" si="1"/>
        <v>27</v>
      </c>
      <c r="E55" s="31">
        <f>IF(D55=" "," ",($E$26-$B$3*($F$8))*((D55/($F$8))-($C$18/(PI()))*SIN((PI()*D55)/($F$8)))+$B$3*D55)</f>
        <v>1.52236899346544</v>
      </c>
      <c r="F55" s="31">
        <f t="shared" si="5"/>
        <v>1.06420178428535</v>
      </c>
      <c r="G55" s="31"/>
      <c r="H55" s="31">
        <f t="shared" si="2"/>
        <v>27</v>
      </c>
      <c r="I55" s="31">
        <f>IF(H55=" "," ",($I$26-$D$3*$F$13)*((H55/$F$13)-($C$18/(PI()))*SIN((PI()*H55)/$F$13))+$D$3*H55)</f>
        <v>1.59003007728506</v>
      </c>
      <c r="J55" s="31">
        <f t="shared" si="6"/>
        <v>1.06859865841583</v>
      </c>
      <c r="K55" s="31">
        <f t="shared" si="3"/>
        <v>27</v>
      </c>
      <c r="L55" s="31">
        <f>IF(K55=" "," ",($L$26-$D$3*$F$12)*((K55/$F$12)-($C$18/(PI()))*SIN((PI()*K55)/$F$12))+$D$3*K55)</f>
        <v>1.54116984410726</v>
      </c>
      <c r="M55" s="31">
        <f t="shared" si="7"/>
        <v>1.0642471544093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1.67294814331308</v>
      </c>
      <c r="C56" s="31">
        <f t="shared" si="4"/>
        <v>1.06104229811229</v>
      </c>
      <c r="D56" s="31">
        <f t="shared" si="1"/>
        <v>28</v>
      </c>
      <c r="E56" s="31">
        <f>IF(D56=" "," ",($E$26-$B$3*($F$8))*((D56/($F$8))-($C$18/(PI()))*SIN((PI()*D56)/($F$8)))+$B$3*D56)</f>
        <v>1.67294814331308</v>
      </c>
      <c r="F56" s="31">
        <f t="shared" si="5"/>
        <v>1.06104229811229</v>
      </c>
      <c r="G56" s="31"/>
      <c r="H56" s="31">
        <f t="shared" si="2"/>
        <v>28</v>
      </c>
      <c r="I56" s="31">
        <f>IF(H56=" "," ",($I$26-$D$3*$F$13)*((H56/$F$13)-($C$18/(PI()))*SIN((PI()*H56)/$F$13))+$D$3*H56)</f>
        <v>1.75177477613961</v>
      </c>
      <c r="J56" s="31">
        <f t="shared" si="6"/>
        <v>1.06560617961817</v>
      </c>
      <c r="K56" s="31">
        <f t="shared" si="3"/>
        <v>28</v>
      </c>
      <c r="L56" s="31">
        <f>IF(K56=" "," ",($L$26-$D$3*$F$12)*((K56/$F$12)-($C$18/(PI()))*SIN((PI()*K56)/$F$12))+$D$3*K56)</f>
        <v>1.6937681401518</v>
      </c>
      <c r="M56" s="31">
        <f t="shared" si="7"/>
        <v>1.06108283134532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1.83226923796986</v>
      </c>
      <c r="C57" s="31">
        <f t="shared" si="4"/>
        <v>1.05805547991196</v>
      </c>
      <c r="D57" s="31">
        <f t="shared" si="1"/>
        <v>29</v>
      </c>
      <c r="E57" s="31">
        <f>IF(D57=" "," ",($E$26-$B$3*($F$8))*((D57/($F$8))-($C$18/(PI()))*SIN((PI()*D57)/($F$8)))+$B$3*D57)</f>
        <v>1.83226923796986</v>
      </c>
      <c r="F57" s="31">
        <f t="shared" si="5"/>
        <v>1.05805547991196</v>
      </c>
      <c r="G57" s="31"/>
      <c r="H57" s="31">
        <f t="shared" si="2"/>
        <v>29</v>
      </c>
      <c r="I57" s="31">
        <f>IF(H57=" "," ",($I$26-$D$3*$F$13)*((H57/$F$13)-($C$18/(PI()))*SIN((PI()*H57)/$F$13))+$D$3*H57)</f>
        <v>1.92367523984787</v>
      </c>
      <c r="J57" s="31">
        <f t="shared" si="6"/>
        <v>1.06278885753677</v>
      </c>
      <c r="K57" s="31">
        <f t="shared" si="3"/>
        <v>29</v>
      </c>
      <c r="L57" s="31">
        <f>IF(K57=" "," ",($L$26-$D$3*$F$12)*((K57/$F$12)-($C$18/(PI()))*SIN((PI()*K57)/$F$12))+$D$3*K57)</f>
        <v>1.85523114751672</v>
      </c>
      <c r="M57" s="31">
        <f t="shared" si="7"/>
        <v>1.05809181065682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2.00038888742434</v>
      </c>
      <c r="C58" s="31">
        <f t="shared" si="4"/>
        <v>1.05522529716897</v>
      </c>
      <c r="D58" s="31">
        <f t="shared" si="1"/>
        <v>30</v>
      </c>
      <c r="E58" s="31">
        <f>IF(D58=" "," ",($E$26-$B$3*($F$8))*((D58/($F$8))-($C$18/(PI()))*SIN((PI()*D58)/($F$8)))+$B$3*D58)</f>
        <v>2.00038888742434</v>
      </c>
      <c r="F58" s="31">
        <f t="shared" si="5"/>
        <v>1.05522529716897</v>
      </c>
      <c r="G58" s="31"/>
      <c r="H58" s="31">
        <f t="shared" si="2"/>
        <v>30</v>
      </c>
      <c r="I58" s="31">
        <f>IF(H58=" "," ",($I$26-$D$3*$F$13)*((H58/$F$13)-($C$18/(PI()))*SIN((PI()*H58)/$F$13))+$D$3*H58)</f>
        <v>2.10591219352012</v>
      </c>
      <c r="J58" s="31">
        <f t="shared" si="6"/>
        <v>1.0601306694642</v>
      </c>
      <c r="K58" s="31">
        <f t="shared" si="3"/>
        <v>30</v>
      </c>
      <c r="L58" s="31">
        <f>IF(K58=" "," ",($L$26-$D$3*$F$12)*((K58/$F$12)-($C$18/(PI()))*SIN((PI()*K58)/$F$12))+$D$3*K58)</f>
        <v>2.02561627118654</v>
      </c>
      <c r="M58" s="31">
        <f t="shared" si="7"/>
        <v>1.05525795939582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2.17734111590112</v>
      </c>
      <c r="C59" s="31">
        <f t="shared" si="4"/>
        <v>1.05253745800063</v>
      </c>
      <c r="D59" s="31">
        <f t="shared" si="1"/>
        <v>31</v>
      </c>
      <c r="E59" s="31">
        <f>IF(D59=" "," ",($E$26-$B$3*($F$8))*((D59/($F$8))-($C$18/(PI()))*SIN((PI()*D59)/($F$8)))+$B$3*D59)</f>
        <v>2.17734111590112</v>
      </c>
      <c r="F59" s="31">
        <f t="shared" si="5"/>
        <v>1.05253745800063</v>
      </c>
      <c r="G59" s="31"/>
      <c r="H59" s="31">
        <f t="shared" si="2"/>
        <v>31</v>
      </c>
      <c r="I59" s="31">
        <f>IF(H59=" "," ",($I$26-$D$3*$F$13)*((H59/$F$13)-($C$18/(PI()))*SIN((PI()*H59)/$F$13))+$D$3*H59)</f>
        <v>2.29864915819918</v>
      </c>
      <c r="J59" s="31">
        <f t="shared" si="6"/>
        <v>1.05761735364443</v>
      </c>
      <c r="K59" s="31">
        <f t="shared" si="3"/>
        <v>31</v>
      </c>
      <c r="L59" s="31">
        <f>IF(K59=" "," ",($L$26-$D$3*$F$12)*((K59/$F$12)-($C$18/(PI()))*SIN((PI()*K59)/$F$12))+$D$3*K59)</f>
        <v>2.20495801320119</v>
      </c>
      <c r="M59" s="31">
        <f t="shared" si="7"/>
        <v>1.05256690344744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2.36313727452112</v>
      </c>
      <c r="C60" s="31">
        <f t="shared" si="4"/>
        <v>1.04997919618953</v>
      </c>
      <c r="D60" s="31">
        <f t="shared" si="1"/>
        <v>32</v>
      </c>
      <c r="E60" s="31">
        <f>IF(D60=" "," ",($E$26-$B$3*($F$8))*((D60/($F$8))-($C$18/(PI()))*SIN((PI()*D60)/($F$8)))+$B$3*D60)</f>
        <v>2.36313727452112</v>
      </c>
      <c r="F60" s="31">
        <f t="shared" si="5"/>
        <v>1.04997919618953</v>
      </c>
      <c r="G60" s="31"/>
      <c r="H60" s="31">
        <f t="shared" si="2"/>
        <v>32</v>
      </c>
      <c r="I60" s="31">
        <f>IF(H60=" "," ",($I$26-$D$3*$F$13)*((H60/$F$13)-($C$18/(PI()))*SIN((PI()*H60)/$F$13))+$D$3*H60)</f>
        <v>2.50203217869581</v>
      </c>
      <c r="J60" s="31">
        <f t="shared" si="6"/>
        <v>1.05523619112346</v>
      </c>
      <c r="K60" s="31">
        <f t="shared" si="3"/>
        <v>32</v>
      </c>
      <c r="L60" s="31">
        <f>IF(K60=" "," ",($L$26-$D$3*$F$12)*((K60/$F$12)-($C$18/(PI()))*SIN((PI()*K60)/$F$12))+$D$3*K60)</f>
        <v>2.39326788408976</v>
      </c>
      <c r="M60" s="31">
        <f t="shared" si="7"/>
        <v>1.05000580887186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2.55776601216341</v>
      </c>
      <c r="C61" s="31">
        <f t="shared" si="4"/>
        <v>1.04753908308923</v>
      </c>
      <c r="D61" s="31">
        <f t="shared" si="1"/>
        <v>33</v>
      </c>
      <c r="E61" s="31">
        <f>IF(D61=" "," ",($E$26-$B$3*($F$8))*((D61/($F$8))-($C$18/(PI()))*SIN((PI()*D61)/($F$8)))+$B$3*D61)</f>
        <v>2.55776601216341</v>
      </c>
      <c r="F61" s="31">
        <f t="shared" si="5"/>
        <v>1.04753908308923</v>
      </c>
      <c r="G61" s="31"/>
      <c r="H61" s="31">
        <f t="shared" si="2"/>
        <v>33</v>
      </c>
      <c r="I61" s="31">
        <f>IF(H61=" "," ",($I$26-$D$3*$F$13)*((H61/$F$13)-($C$18/(PI()))*SIN((PI()*H61)/$F$13))+$D$3*H61)</f>
        <v>2.71618958051149</v>
      </c>
      <c r="J61" s="31">
        <f t="shared" si="6"/>
        <v>1.05297581525118</v>
      </c>
      <c r="K61" s="31">
        <f t="shared" si="3"/>
        <v>33</v>
      </c>
      <c r="L61" s="31">
        <f>IF(K61=" "," ",($L$26-$D$3*$F$12)*((K61/$F$12)-($C$18/(PI()))*SIN((PI()*K61)/$F$12))+$D$3*K61)</f>
        <v>2.59053437332317</v>
      </c>
      <c r="M61" s="31">
        <f t="shared" si="7"/>
        <v>1.04756319093932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2.76119330460341</v>
      </c>
      <c r="C62" s="31">
        <f t="shared" si="4"/>
        <v>1.04520686361269</v>
      </c>
      <c r="D62" s="31">
        <f t="shared" si="1"/>
        <v>34</v>
      </c>
      <c r="E62" s="31">
        <f>IF(D62=" "," ",($E$26-$B$3*($F$8))*((D62/($F$8))-($C$18/(PI()))*SIN((PI()*D62)/($F$8)))+$B$3*D62)</f>
        <v>2.76119330460341</v>
      </c>
      <c r="F62" s="31">
        <f t="shared" si="5"/>
        <v>1.04520686361269</v>
      </c>
      <c r="G62" s="31"/>
      <c r="H62" s="31">
        <f t="shared" si="2"/>
        <v>34</v>
      </c>
      <c r="I62" s="31">
        <f>IF(H62=" "," ",($I$26-$D$3*$F$13)*((H62/$F$13)-($C$18/(PI()))*SIN((PI()*H62)/$F$13))+$D$3*H62)</f>
        <v>2.94123175625333</v>
      </c>
      <c r="J62" s="31">
        <f t="shared" si="6"/>
        <v>1.05082604586101</v>
      </c>
      <c r="K62" s="31">
        <f t="shared" si="3"/>
        <v>34</v>
      </c>
      <c r="L62" s="31">
        <f>IF(K62=" "," ",($L$26-$D$3*$F$12)*((K62/$F$12)-($C$18/(PI()))*SIN((PI()*K62)/$F$12))+$D$3*K62)</f>
        <v>2.79672297886148</v>
      </c>
      <c r="M62" s="31">
        <f t="shared" si="7"/>
        <v>1.04522874787081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2.97336254185254</v>
      </c>
      <c r="C63" s="31">
        <f t="shared" si="4"/>
        <v>1.04297331348358</v>
      </c>
      <c r="D63" s="31">
        <f t="shared" si="1"/>
        <v>35</v>
      </c>
      <c r="E63" s="31">
        <f>IF(D63=" "," ",($E$26-$B$3*($F$8))*((D63/($F$8))-($C$18/(PI()))*SIN((PI()*D63)/($F$8)))+$B$3*D63)</f>
        <v>2.97336254185254</v>
      </c>
      <c r="F63" s="31">
        <f t="shared" si="5"/>
        <v>1.04297331348358</v>
      </c>
      <c r="G63" s="31"/>
      <c r="H63" s="31">
        <f t="shared" si="2"/>
        <v>35</v>
      </c>
      <c r="I63" s="31">
        <f>IF(H63=" "," ",($I$26-$D$3*$F$13)*((H63/$F$13)-($C$18/(PI()))*SIN((PI()*H63)/$F$13))+$D$3*H63)</f>
        <v>3.17725098189645</v>
      </c>
      <c r="J63" s="31">
        <f t="shared" si="6"/>
        <v>1.04877774517192</v>
      </c>
      <c r="K63" s="31">
        <f t="shared" si="3"/>
        <v>35</v>
      </c>
      <c r="L63" s="31">
        <f>IF(K63=" "," ",($L$26-$D$3*$F$12)*((K63/$F$12)-($C$18/(PI()))*SIN((PI()*K63)/$F$12))+$D$3*K63)</f>
        <v>3.01177629572016</v>
      </c>
      <c r="M63" s="31">
        <f t="shared" si="7"/>
        <v>1.04299321631877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3.1941946734753</v>
      </c>
      <c r="C64" s="31">
        <f t="shared" si="4"/>
        <v>1.04083011508144</v>
      </c>
      <c r="D64" s="31">
        <f t="shared" si="1"/>
        <v>36</v>
      </c>
      <c r="E64" s="31">
        <f>IF(D64=" "," ",($E$26-$B$3*($F$8))*((D64/($F$8))-($C$18/(PI()))*SIN((PI()*D64)/($F$8)))+$B$3*D64)</f>
        <v>3.1941946734753</v>
      </c>
      <c r="F64" s="31">
        <f t="shared" si="5"/>
        <v>1.04083011508144</v>
      </c>
      <c r="G64" s="31"/>
      <c r="H64" s="31">
        <f t="shared" si="2"/>
        <v>36</v>
      </c>
      <c r="I64" s="31">
        <f>IF(H64=" "," ",($I$26-$D$3*$F$13)*((H64/$F$13)-($C$18/(PI()))*SIN((PI()*H64)/$F$13))+$D$3*H64)</f>
        <v>3.42432126319969</v>
      </c>
      <c r="J64" s="31">
        <f t="shared" si="6"/>
        <v>1.04682269264302</v>
      </c>
      <c r="K64" s="31">
        <f t="shared" si="3"/>
        <v>36</v>
      </c>
      <c r="L64" s="31">
        <f>IF(K64=" "," ",($L$26-$D$3*$F$12)*((K64/$F$12)-($C$18/(PI()))*SIN((PI()*K64)/$F$12))+$D$3*K64)</f>
        <v>3.23561416332787</v>
      </c>
      <c r="M64" s="31">
        <f t="shared" si="7"/>
        <v>1.04084824580872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3.42358841151056</v>
      </c>
      <c r="C65" s="31">
        <f t="shared" si="4"/>
        <v>1.03876974944535</v>
      </c>
      <c r="D65" s="31">
        <f t="shared" si="1"/>
        <v>37</v>
      </c>
      <c r="E65" s="31">
        <f>IF(D65=" "," ",($E$26-$B$3*($F$8))*((D65/($F$8))-($C$18/(PI()))*SIN((PI()*D65)/($F$8)))+$B$3*D65)</f>
        <v>3.42358841151056</v>
      </c>
      <c r="F65" s="31">
        <f t="shared" si="5"/>
        <v>1.03876974944535</v>
      </c>
      <c r="G65" s="31"/>
      <c r="H65" s="31">
        <f t="shared" si="2"/>
        <v>37</v>
      </c>
      <c r="I65" s="31">
        <f>IF(H65=" "," ",($I$26-$D$3*$F$13)*((H65/$F$13)-($C$18/(PI()))*SIN((PI()*H65)/$F$13))+$D$3*H65)</f>
        <v>3.6824982125304</v>
      </c>
      <c r="J65" s="31">
        <f t="shared" si="6"/>
        <v>1.04495347626952</v>
      </c>
      <c r="K65" s="31">
        <f t="shared" si="3"/>
        <v>37</v>
      </c>
      <c r="L65" s="31">
        <f>IF(K65=" "," ",($L$26-$D$3*$F$12)*((K65/$F$12)-($C$18/(PI()))*SIN((PI()*K65)/$F$12))+$D$3*K65)</f>
        <v>3.46813387129747</v>
      </c>
      <c r="M65" s="31">
        <f t="shared" si="7"/>
        <v>1.03878628962419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3.66142049047632</v>
      </c>
      <c r="C66" s="31">
        <f t="shared" si="4"/>
        <v>1.03678540226414</v>
      </c>
      <c r="D66" s="31">
        <f t="shared" si="1"/>
        <v>38</v>
      </c>
      <c r="E66" s="31">
        <f>IF(D66=" "," ",($E$26-$B$3*($F$8))*((D66/($F$8))-($C$18/(PI()))*SIN((PI()*D66)/($F$8)))+$B$3*D66)</f>
        <v>3.66142049047632</v>
      </c>
      <c r="F66" s="31">
        <f t="shared" si="5"/>
        <v>1.03678540226414</v>
      </c>
      <c r="G66" s="31"/>
      <c r="H66" s="31">
        <f t="shared" si="2"/>
        <v>38</v>
      </c>
      <c r="I66" s="31">
        <f>IF(H66=" "," ",($I$26-$D$3*$F$13)*((H66/$F$13)-($C$18/(PI()))*SIN((PI()*H66)/$F$13))+$D$3*H66)</f>
        <v>3.9518189563031</v>
      </c>
      <c r="J66" s="31">
        <f t="shared" si="6"/>
        <v>1.04316339809139</v>
      </c>
      <c r="K66" s="31">
        <f t="shared" si="3"/>
        <v>38</v>
      </c>
      <c r="L66" s="31">
        <f>IF(K66=" "," ",($L$26-$D$3*$F$12)*((K66/$F$12)-($C$18/(PI()))*SIN((PI()*K66)/$F$12))+$D$3*K66)</f>
        <v>3.70921042308214</v>
      </c>
      <c r="M66" s="31">
        <f t="shared" si="7"/>
        <v>1.03680050989996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3.90754598379043</v>
      </c>
      <c r="C67" s="31">
        <f t="shared" si="4"/>
        <v>1.03487088194505</v>
      </c>
      <c r="D67" s="31">
        <f t="shared" si="1"/>
        <v>39</v>
      </c>
      <c r="E67" s="31">
        <f>IF(D67=" "," ",($E$26-$B$3*($F$8))*((D67/($F$8))-($C$18/(PI()))*SIN((PI()*D67)/($F$8)))+$B$3*D67)</f>
        <v>3.90754598379043</v>
      </c>
      <c r="F67" s="31">
        <f t="shared" si="5"/>
        <v>1.03487088194505</v>
      </c>
      <c r="G67" s="31"/>
      <c r="H67" s="31">
        <f t="shared" si="2"/>
        <v>39</v>
      </c>
      <c r="I67" s="31">
        <f>IF(H67=" "," ",($I$26-$D$3*$F$13)*((H67/$F$13)-($C$18/(PI()))*SIN((PI()*H67)/$F$13))+$D$3*H67)</f>
        <v>4.23230207318621</v>
      </c>
      <c r="J67" s="31">
        <f t="shared" si="6"/>
        <v>1.04144639196393</v>
      </c>
      <c r="K67" s="31">
        <f t="shared" si="3"/>
        <v>39</v>
      </c>
      <c r="L67" s="31">
        <f>IF(K67=" "," ",($L$26-$D$3*$F$12)*((K67/$F$12)-($C$18/(PI()))*SIN((PI()*K67)/$F$12))+$D$3*K67)</f>
        <v>3.95869685683971</v>
      </c>
      <c r="M67" s="31">
        <f t="shared" si="7"/>
        <v>1.03488469496781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4.16179867579508</v>
      </c>
      <c r="C68" s="31">
        <f t="shared" si="4"/>
        <v>1.03302054809966</v>
      </c>
      <c r="D68" s="31">
        <f t="shared" si="1"/>
        <v>40</v>
      </c>
      <c r="E68" s="31">
        <f>IF(D68=" "," ",($E$26-$B$3*($F$8))*((D68/($F$8))-($C$18/(PI()))*SIN((PI()*D68)/($F$8)))+$B$3*D68)</f>
        <v>4.16179867579508</v>
      </c>
      <c r="F68" s="31">
        <f t="shared" si="5"/>
        <v>1.03302054809966</v>
      </c>
      <c r="G68" s="31"/>
      <c r="H68" s="31">
        <f t="shared" si="2"/>
        <v>40</v>
      </c>
      <c r="I68" s="31">
        <f>IF(H68=" "," ",($I$26-$D$3*$F$13)*((H68/$F$13)-($C$18/(PI()))*SIN((PI()*H68)/$F$13))+$D$3*H68)</f>
        <v>4.52394756317975</v>
      </c>
      <c r="J68" s="31">
        <f t="shared" si="6"/>
        <v>1.03979695189666</v>
      </c>
      <c r="K68" s="31">
        <f t="shared" si="3"/>
        <v>40</v>
      </c>
      <c r="L68" s="31">
        <f>IF(K68=" "," ",($L$26-$D$3*$F$12)*((K68/$F$12)-($C$18/(PI()))*SIN((PI()*K68)/$F$12))+$D$3*K68)</f>
        <v>4.2164246226816</v>
      </c>
      <c r="M68" s="31">
        <f t="shared" si="7"/>
        <v>1.03303318725668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4.42399148842996</v>
      </c>
      <c r="C69" s="31">
        <f t="shared" si="4"/>
        <v>1.03122924901059</v>
      </c>
      <c r="D69" s="31">
        <f t="shared" si="1"/>
        <v>41</v>
      </c>
      <c r="E69" s="31">
        <f>IF(D69=" "," ",($E$26-$B$3*($F$8))*((D69/($F$8))-($C$18/(PI()))*SIN((PI()*D69)/($F$8)))+$B$3*D69)</f>
        <v>4.42399148842996</v>
      </c>
      <c r="F69" s="31">
        <f t="shared" si="5"/>
        <v>1.03122924901059</v>
      </c>
      <c r="G69" s="31"/>
      <c r="H69" s="31">
        <f t="shared" si="2"/>
        <v>41</v>
      </c>
      <c r="I69" s="31">
        <f>IF(H69=" "," ",($I$26-$D$3*$F$13)*((H69/$F$13)-($C$18/(PI()))*SIN((PI()*H69)/$F$13))+$D$3*H69)</f>
        <v>4.82673684761527</v>
      </c>
      <c r="J69" s="31">
        <f t="shared" si="6"/>
        <v>1.0382100694999</v>
      </c>
      <c r="K69" s="31">
        <f t="shared" si="3"/>
        <v>41</v>
      </c>
      <c r="L69" s="31">
        <f>IF(K69=" "," ",($L$26-$D$3*$F$12)*((K69/$F$12)-($C$18/(PI()))*SIN((PI()*K69)/$F$12))+$D$3*K69)</f>
        <v>4.48220401533795</v>
      </c>
      <c r="M69" s="31">
        <f t="shared" si="7"/>
        <v>1.03124082028247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4.69391696145897</v>
      </c>
      <c r="C70" s="31">
        <f t="shared" si="4"/>
        <v>1.02949226684145</v>
      </c>
      <c r="D70" s="31">
        <f t="shared" si="1"/>
        <v>42</v>
      </c>
      <c r="E70" s="31">
        <f>IF(D70=" "," ",($E$26-$B$3*($F$8))*((D70/($F$8))-($C$18/(PI()))*SIN((PI()*D70)/($F$8)))+$B$3*D70)</f>
        <v>4.69391696145897</v>
      </c>
      <c r="F70" s="31">
        <f t="shared" si="5"/>
        <v>1.02949226684145</v>
      </c>
      <c r="G70" s="31"/>
      <c r="H70" s="31">
        <f t="shared" si="2"/>
        <v>42</v>
      </c>
      <c r="I70" s="31">
        <f>IF(H70=" "," ",($I$26-$D$3*$F$13)*((H70/$F$13)-($C$18/(PI()))*SIN((PI()*H70)/$F$13))+$D$3*H70)</f>
        <v>5.14063280007826</v>
      </c>
      <c r="J70" s="31">
        <f t="shared" si="6"/>
        <v>1.03668117928339</v>
      </c>
      <c r="K70" s="31">
        <f t="shared" si="3"/>
        <v>42</v>
      </c>
      <c r="L70" s="31">
        <f>IF(K70=" "," ",($L$26-$D$3*$F$12)*((K70/$F$12)-($C$18/(PI()))*SIN((PI()*K70)/$F$12))+$D$3*K70)</f>
        <v>4.75582466112838</v>
      </c>
      <c r="M70" s="31">
        <f t="shared" si="7"/>
        <v>1.0295028634677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4.97134778501771</v>
      </c>
      <c r="C71" s="31">
        <f t="shared" si="4"/>
        <v>1.02780526952682</v>
      </c>
      <c r="D71" s="31">
        <f t="shared" si="1"/>
        <v>43</v>
      </c>
      <c r="E71" s="31">
        <f>IF(D71=" "," ",($E$26-$B$3*($F$8))*((D71/($F$8))-($C$18/(PI()))*SIN((PI()*D71)/($F$8)))+$B$3*D71)</f>
        <v>4.97134778501771</v>
      </c>
      <c r="F71" s="31">
        <f t="shared" si="5"/>
        <v>1.02780526952682</v>
      </c>
      <c r="G71" s="31"/>
      <c r="H71" s="31">
        <f t="shared" si="2"/>
        <v>43</v>
      </c>
      <c r="I71" s="31">
        <f>IF(H71=" "," ",($I$26-$D$3*$F$13)*((H71/$F$13)-($C$18/(PI()))*SIN((PI()*H71)/$F$13))+$D$3*H71)</f>
        <v>5.46557980820139</v>
      </c>
      <c r="J71" s="31">
        <f t="shared" si="6"/>
        <v>1.03520611073007</v>
      </c>
      <c r="K71" s="31">
        <f t="shared" si="3"/>
        <v>43</v>
      </c>
      <c r="L71" s="31">
        <f>IF(K71=" "," ",($L$26-$D$3*$F$12)*((K71/$F$12)-($C$18/(PI()))*SIN((PI()*K71)/$F$12))+$D$3*K71)</f>
        <v>5.03705605798813</v>
      </c>
      <c r="M71" s="31">
        <f t="shared" si="7"/>
        <v>1.02781497371059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5.25603738311459</v>
      </c>
      <c r="C72" s="31">
        <f t="shared" si="4"/>
        <v>1.02616426842926</v>
      </c>
      <c r="D72" s="31">
        <f t="shared" si="1"/>
        <v>44</v>
      </c>
      <c r="E72" s="31">
        <f>IF(D72=" "," ",($E$26-$B$3*($F$8))*((D72/($F$8))-($C$18/(PI()))*SIN((PI()*D72)/($F$8)))+$B$3*D72)</f>
        <v>5.25603738311459</v>
      </c>
      <c r="F72" s="31">
        <f t="shared" si="5"/>
        <v>1.02616426842926</v>
      </c>
      <c r="G72" s="31"/>
      <c r="H72" s="31">
        <f t="shared" si="2"/>
        <v>44</v>
      </c>
      <c r="I72" s="31">
        <f>IF(H72=" "," ",($I$26-$D$3*$F$13)*((H72/$F$13)-($C$18/(PI()))*SIN((PI()*H72)/$F$13))+$D$3*H72)</f>
        <v>5.80150386622578</v>
      </c>
      <c r="J72" s="31">
        <f t="shared" si="6"/>
        <v>1.03378104622249</v>
      </c>
      <c r="K72" s="31">
        <f t="shared" si="3"/>
        <v>44</v>
      </c>
      <c r="L72" s="31">
        <f>IF(K72=" "," ",($L$26-$D$3*$F$12)*((K72/$F$12)-($C$18/(PI()))*SIN((PI()*K72)/$F$12))+$D$3*K72)</f>
        <v>5.32564816716365</v>
      </c>
      <c r="M72" s="31">
        <f t="shared" si="7"/>
        <v>1.0261731527772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5.5477205465879</v>
      </c>
      <c r="C73" s="31">
        <f t="shared" si="4"/>
        <v>1.02456558098075</v>
      </c>
      <c r="D73" s="31">
        <f t="shared" si="1"/>
        <v>45</v>
      </c>
      <c r="E73" s="31">
        <f>IF(D73=" "," ",($E$26-$B$3*($F$8))*((D73/($F$8))-($C$18/(PI()))*SIN((PI()*D73)/($F$8)))+$B$3*D73)</f>
        <v>5.5477205465879</v>
      </c>
      <c r="F73" s="31">
        <f t="shared" si="5"/>
        <v>1.02456558098075</v>
      </c>
      <c r="G73" s="31"/>
      <c r="H73" s="31">
        <f t="shared" si="2"/>
        <v>45</v>
      </c>
      <c r="I73" s="31">
        <f>IF(H73=" "," ",($I$26-$D$3*$F$13)*((H73/$F$13)-($C$18/(PI()))*SIN((PI()*H73)/$F$13))+$D$3*H73)</f>
        <v>6.14831269817632</v>
      </c>
      <c r="J73" s="31">
        <f t="shared" si="6"/>
        <v>1.03240248403217</v>
      </c>
      <c r="K73" s="31">
        <f t="shared" si="3"/>
        <v>45</v>
      </c>
      <c r="L73" s="31">
        <f>IF(K73=" "," ",($L$26-$D$3*$F$12)*((K73/$F$12)-($C$18/(PI()))*SIN((PI()*K73)/$F$12))+$D$3*K73)</f>
        <v>5.6213320550584</v>
      </c>
      <c r="M73" s="31">
        <f t="shared" si="7"/>
        <v>1.02457370972303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5.84611411389389</v>
      </c>
      <c r="C74" s="31">
        <f t="shared" si="4"/>
        <v>1.02300579763598</v>
      </c>
      <c r="D74" s="31">
        <f t="shared" si="1"/>
        <v>46</v>
      </c>
      <c r="E74" s="31">
        <f>IF(D74=" "," ",($E$26-$B$3*($F$8))*((D74/($F$8))-($C$18/(PI()))*SIN((PI()*D74)/($F$8)))+$B$3*D74)</f>
        <v>5.84611411389389</v>
      </c>
      <c r="F74" s="31">
        <f t="shared" si="5"/>
        <v>1.02300579763598</v>
      </c>
      <c r="G74" s="31"/>
      <c r="H74" s="31">
        <f t="shared" si="2"/>
        <v>46</v>
      </c>
      <c r="I74" s="31">
        <f>IF(H74=" "," ",($I$26-$D$3*$F$13)*((H74/$F$13)-($C$18/(PI()))*SIN((PI()*H74)/$F$13))+$D$3*H74)</f>
        <v>6.50589591144593</v>
      </c>
      <c r="J74" s="31">
        <f t="shared" si="6"/>
        <v>1.03106720569502</v>
      </c>
      <c r="K74" s="31">
        <f t="shared" si="3"/>
        <v>46</v>
      </c>
      <c r="L74" s="31">
        <f>IF(K74=" "," ",($L$26-$D$3*$F$12)*((K74/$F$12)-($C$18/(PI()))*SIN((PI()*K74)/$F$12))+$D$3*K74)</f>
        <v>5.9238205835816</v>
      </c>
      <c r="M74" s="31">
        <f t="shared" si="7"/>
        <v>1.02301322766316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6.15091769797845</v>
      </c>
      <c r="C75" s="31">
        <f t="shared" si="4"/>
        <v>1.02148175256067</v>
      </c>
      <c r="D75" s="31">
        <f t="shared" si="1"/>
        <v>47</v>
      </c>
      <c r="E75" s="31">
        <f>IF(D75=" "," ",($E$26-$B$3*($F$8))*((D75/($F$8))-($C$18/(PI()))*SIN((PI()*D75)/($F$8)))+$B$3*D75)</f>
        <v>6.15091769797845</v>
      </c>
      <c r="F75" s="31">
        <f t="shared" si="5"/>
        <v>1.02148175256067</v>
      </c>
      <c r="G75" s="31"/>
      <c r="H75" s="31">
        <f t="shared" si="2"/>
        <v>47</v>
      </c>
      <c r="I75" s="31">
        <f>IF(H75=" "," ",($I$26-$D$3*$F$13)*((H75/$F$13)-($C$18/(PI()))*SIN((PI()*H75)/$F$13))+$D$3*H75)</f>
        <v>6.8741251805331</v>
      </c>
      <c r="J75" s="31">
        <f t="shared" si="6"/>
        <v>1.0297722471931</v>
      </c>
      <c r="K75" s="31">
        <f t="shared" si="3"/>
        <v>47</v>
      </c>
      <c r="L75" s="31">
        <f>IF(K75=" "," ",($L$26-$D$3*$F$12)*((K75/$F$12)-($C$18/(PI()))*SIN((PI()*K75)/$F$12))+$D$3*K75)</f>
        <v>6.23280914722757</v>
      </c>
      <c r="M75" s="31">
        <f t="shared" si="7"/>
        <v>1.02148853430741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6.4618144573663</v>
      </c>
      <c r="C76" s="31">
        <f t="shared" si="4"/>
        <v>1.01999049755792</v>
      </c>
      <c r="D76" s="31">
        <f t="shared" si="1"/>
        <v>48</v>
      </c>
      <c r="E76" s="31">
        <f>IF(D76=" "," ",($E$26-$B$3*($F$8))*((D76/($F$8))-($C$18/(PI()))*SIN((PI()*D76)/($F$8)))+$B$3*D76)</f>
        <v>6.4618144573663</v>
      </c>
      <c r="F76" s="31">
        <f t="shared" si="5"/>
        <v>1.01999049755792</v>
      </c>
      <c r="G76" s="31"/>
      <c r="H76" s="31">
        <f t="shared" si="2"/>
        <v>48</v>
      </c>
      <c r="I76" s="31">
        <f>IF(H76=" "," ",($I$26-$D$3*$F$13)*((H76/$F$13)-($C$18/(PI()))*SIN((PI()*H76)/$F$13))+$D$3*H76)</f>
        <v>7.25285446062709</v>
      </c>
      <c r="J76" s="31">
        <f t="shared" si="6"/>
        <v>1.02851487344514</v>
      </c>
      <c r="K76" s="31">
        <f t="shared" si="3"/>
        <v>48</v>
      </c>
      <c r="L76" s="31">
        <f>IF(K76=" "," ",($L$26-$D$3*$F$12)*((K76/$F$12)-($C$18/(PI()))*SIN((PI()*K76)/$F$12))+$D$3*K76)</f>
        <v>6.54797645499368</v>
      </c>
      <c r="M76" s="31">
        <f t="shared" si="7"/>
        <v>1.01999667575795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6.77847190948856</v>
      </c>
      <c r="C77" s="31">
        <f t="shared" si="4"/>
        <v>1.01852927880545</v>
      </c>
      <c r="D77" s="31">
        <f t="shared" si="1"/>
        <v>49</v>
      </c>
      <c r="E77" s="31">
        <f>IF(D77=" "," ",($E$26-$B$3*($F$8))*((D77/($F$8))-($C$18/(PI()))*SIN((PI()*D77)/($F$8)))+$B$3*D77)</f>
        <v>6.77847190948856</v>
      </c>
      <c r="F77" s="31">
        <f t="shared" si="5"/>
        <v>1.01852927880545</v>
      </c>
      <c r="G77" s="31"/>
      <c r="H77" s="31">
        <f t="shared" si="2"/>
        <v>49</v>
      </c>
      <c r="I77" s="31">
        <f>IF(H77=" "," ",($I$26-$D$3*$F$13)*((H77/$F$13)-($C$18/(PI()))*SIN((PI()*H77)/$F$13))+$D$3*H77)</f>
        <v>7.64192023068506</v>
      </c>
      <c r="J77" s="31">
        <f t="shared" si="6"/>
        <v>1.02729255567835</v>
      </c>
      <c r="K77" s="31">
        <f t="shared" si="3"/>
        <v>49</v>
      </c>
      <c r="L77" s="31">
        <f>IF(K77=" "," ",($L$26-$D$3*$F$12)*((K77/$F$12)-($C$18/(PI()))*SIN((PI()*K77)/$F$12))+$D$3*K77)</f>
        <v>6.86898535512977</v>
      </c>
      <c r="M77" s="31">
        <f t="shared" si="7"/>
        <v>1.01853489313784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7.10054278416071</v>
      </c>
      <c r="C78" s="31">
        <f t="shared" si="4"/>
        <v>1.01709551603354</v>
      </c>
      <c r="D78" s="31">
        <f t="shared" si="1"/>
        <v>50</v>
      </c>
      <c r="E78" s="31">
        <f>IF(D78=" "," ",($E$26-$B$3*($F$8))*((D78/($F$8))-($C$18/(PI()))*SIN((PI()*D78)/($F$8)))+$B$3*D78)</f>
        <v>7.10054278416071</v>
      </c>
      <c r="F78" s="31">
        <f t="shared" si="5"/>
        <v>1.01709551603354</v>
      </c>
      <c r="G78" s="31"/>
      <c r="H78" s="31">
        <f t="shared" si="2"/>
        <v>50</v>
      </c>
      <c r="I78" s="31">
        <f>IF(H78=" "," ",($I$26-$D$3*$F$13)*((H78/$F$13)-($C$18/(PI()))*SIN((PI()*H78)/$F$13))+$D$3*H78)</f>
        <v>8.04114176559675</v>
      </c>
      <c r="J78" s="31">
        <f t="shared" si="6"/>
        <v>1.02610295131386</v>
      </c>
      <c r="K78" s="31">
        <f t="shared" si="3"/>
        <v>50</v>
      </c>
      <c r="L78" s="31">
        <f>IF(K78=" "," ",($L$26-$D$3*$F$12)*((K78/$F$12)-($C$18/(PI()))*SIN((PI()*K78)/$F$12))+$D$3*K78)</f>
        <v>7.19548370060186</v>
      </c>
      <c r="M78" s="31">
        <f t="shared" si="7"/>
        <v>1.01710060167697</v>
      </c>
    </row>
    <row r="79" spans="1:13">
      <c r="A79" s="31">
        <f t="shared" si="0"/>
        <v>51</v>
      </c>
      <c r="B79" s="31">
        <f>IF(A79=" "," ",($B$26-$B$3*($F$9))*((A79/($F$9))-($C$18/(PI()))*SIN((PI()*A79)/($F$9)))+$B$3*A79)</f>
        <v>7.4276659150202</v>
      </c>
      <c r="C79" s="31">
        <f t="shared" si="4"/>
        <v>1.01568678382508</v>
      </c>
      <c r="D79" s="31">
        <f t="shared" si="1"/>
        <v>51</v>
      </c>
      <c r="E79" s="31">
        <f>IF(D79=" "," ",($E$26-$B$3*($F$8))*((D79/($F$8))-($C$18/(PI()))*SIN((PI()*D79)/($F$8)))+$B$3*D79)</f>
        <v>7.4276659150202</v>
      </c>
      <c r="F79" s="31">
        <f t="shared" si="5"/>
        <v>1.01568678382508</v>
      </c>
      <c r="G79" s="31"/>
      <c r="H79" s="31">
        <f t="shared" si="2"/>
        <v>51</v>
      </c>
      <c r="I79" s="31">
        <f>IF(H79=" "," ",($I$26-$D$3*$F$13)*((H79/$F$13)-($C$18/(PI()))*SIN((PI()*H79)/$F$13))+$D$3*H79)</f>
        <v>8.45032143698352</v>
      </c>
      <c r="J79" s="31">
        <f t="shared" si="6"/>
        <v>1.02494388604886</v>
      </c>
      <c r="K79" s="31">
        <f t="shared" si="3"/>
        <v>51</v>
      </c>
      <c r="L79" s="31">
        <f>IF(K79=" "," ",($L$26-$D$3*$F$12)*((K79/$F$12)-($C$18/(PI()))*SIN((PI()*K79)/$F$12))+$D$3*K79)</f>
        <v>7.5271052530485</v>
      </c>
      <c r="M79" s="31">
        <f t="shared" si="7"/>
        <v>1.01569137193373</v>
      </c>
    </row>
    <row r="80" spans="1:13">
      <c r="A80" s="31">
        <f t="shared" si="0"/>
        <v>52</v>
      </c>
      <c r="B80" s="31">
        <f>IF(A80=" "," ",($B$26-$B$3*($F$9))*((A80/($F$9))-($C$18/(PI()))*SIN((PI()*A80)/($F$9)))+$B$3*A80)</f>
        <v>7.7594671666353</v>
      </c>
      <c r="C80" s="31">
        <f t="shared" si="4"/>
        <v>1.01430079475981</v>
      </c>
      <c r="D80" s="31">
        <f t="shared" si="1"/>
        <v>52</v>
      </c>
      <c r="E80" s="31">
        <f>IF(D80=" "," ",($E$26-$B$3*($F$8))*((D80/($F$8))-($C$18/(PI()))*SIN((PI()*D80)/($F$8)))+$B$3*D80)</f>
        <v>7.7594671666353</v>
      </c>
      <c r="F80" s="31">
        <f t="shared" si="5"/>
        <v>1.01430079475981</v>
      </c>
      <c r="G80" s="31"/>
      <c r="H80" s="31">
        <f t="shared" si="2"/>
        <v>52</v>
      </c>
      <c r="I80" s="31">
        <f>IF(H80=" "," ",($I$26-$D$3*$F$13)*((H80/$F$13)-($C$18/(PI()))*SIN((PI()*H80)/$F$13))+$D$3*H80)</f>
        <v>8.86924504213137</v>
      </c>
      <c r="J80" s="31">
        <f t="shared" si="6"/>
        <v>1.02381333786221</v>
      </c>
      <c r="K80" s="31">
        <f t="shared" si="3"/>
        <v>52</v>
      </c>
      <c r="L80" s="31">
        <f>IF(K80=" "," ",($L$26-$D$3*$F$12)*((K80/$F$12)-($C$18/(PI()))*SIN((PI()*K80)/$F$12))+$D$3*K80)</f>
        <v>7.86347062290942</v>
      </c>
      <c r="M80" s="31">
        <f t="shared" si="7"/>
        <v>1.01430491287217</v>
      </c>
    </row>
    <row r="81" spans="1:13">
      <c r="A81" s="31">
        <f t="shared" si="0"/>
        <v>53</v>
      </c>
      <c r="B81" s="31">
        <f>IF(A81=" "," ",($B$26-$B$3*($F$9))*((A81/($F$9))-($C$18/(PI()))*SIN((PI()*A81)/($F$9)))+$B$3*A81)</f>
        <v>8.09556039490539</v>
      </c>
      <c r="C81" s="31">
        <f t="shared" si="4"/>
        <v>1.01293538416174</v>
      </c>
      <c r="D81" s="31">
        <f t="shared" si="1"/>
        <v>53</v>
      </c>
      <c r="E81" s="31">
        <f>IF(D81=" "," ",($E$26-$B$3*($F$8))*((D81/($F$8))-($C$18/(PI()))*SIN((PI()*D81)/($F$8)))+$B$3*D81)</f>
        <v>8.09556039490539</v>
      </c>
      <c r="F81" s="31">
        <f t="shared" si="5"/>
        <v>1.01293538416174</v>
      </c>
      <c r="G81" s="31"/>
      <c r="H81" s="31">
        <f t="shared" si="2"/>
        <v>53</v>
      </c>
      <c r="I81" s="31">
        <f>IF(H81=" "," ",($I$26-$D$3*$F$13)*((H81/$F$13)-($C$18/(PI()))*SIN((PI()*H81)/$F$13))+$D$3*H81)</f>
        <v>9.29768216051016</v>
      </c>
      <c r="J81" s="31">
        <f t="shared" si="6"/>
        <v>1.02270942270627</v>
      </c>
      <c r="K81" s="31">
        <f t="shared" si="3"/>
        <v>53</v>
      </c>
      <c r="L81" s="31">
        <f>IF(K81=" "," ",($L$26-$D$3*$F$12)*((K81/$F$12)-($C$18/(PI()))*SIN((PI()*K81)/$F$12))+$D$3*K81)</f>
        <v>8.20418824331309</v>
      </c>
      <c r="M81" s="31">
        <f t="shared" si="7"/>
        <v>1.01293905655195</v>
      </c>
    </row>
    <row r="82" spans="1:13">
      <c r="A82" s="31">
        <f t="shared" si="0"/>
        <v>54</v>
      </c>
      <c r="B82" s="31">
        <f>IF(A82=" "," ",($B$26-$B$3*($F$9))*((A82/($F$9))-($C$18/(PI()))*SIN((PI()*A82)/($F$9)))+$B$3*A82)</f>
        <v>8.43554843828733</v>
      </c>
      <c r="C82" s="31">
        <f t="shared" si="4"/>
        <v>1.01158849623928</v>
      </c>
      <c r="D82" s="31">
        <f t="shared" si="1"/>
        <v>54</v>
      </c>
      <c r="E82" s="31">
        <f>IF(D82=" "," ",($E$26-$B$3*($F$8))*((D82/($F$8))-($C$18/(PI()))*SIN((PI()*D82)/($F$8)))+$B$3*D82)</f>
        <v>8.43554843828733</v>
      </c>
      <c r="F82" s="31">
        <f t="shared" si="5"/>
        <v>1.01158849623928</v>
      </c>
      <c r="G82" s="31"/>
      <c r="H82" s="31">
        <f t="shared" si="2"/>
        <v>54</v>
      </c>
      <c r="I82" s="31">
        <f>IF(H82=" "," ",($I$26-$D$3*$F$13)*((H82/$F$13)-($C$18/(PI()))*SIN((PI()*H82)/$F$13))+$D$3*H82)</f>
        <v>9.73538653728586</v>
      </c>
      <c r="J82" s="31">
        <f t="shared" si="6"/>
        <v>1.02163038168115</v>
      </c>
      <c r="K82" s="31">
        <f t="shared" si="3"/>
        <v>54</v>
      </c>
      <c r="L82" s="31">
        <f>IF(K82=" "," ",($L$26-$D$3*$F$12)*((K82/$F$12)-($C$18/(PI()))*SIN((PI()*K82)/$F$12))+$D$3*K82)</f>
        <v>8.54885537522326</v>
      </c>
      <c r="M82" s="31">
        <f t="shared" si="7"/>
        <v>1.01159174421861</v>
      </c>
    </row>
    <row r="83" spans="1:13">
      <c r="A83" s="31">
        <f t="shared" si="0"/>
        <v>55</v>
      </c>
      <c r="B83" s="31">
        <f>IF(A83=" "," ",($B$26-$B$3*($F$9))*((A83/($F$9))-($C$18/(PI()))*SIN((PI()*A83)/($F$9)))+$B$3*A83)</f>
        <v>8.77902413730347</v>
      </c>
      <c r="C83" s="31">
        <f t="shared" si="4"/>
        <v>1.01025817143303</v>
      </c>
      <c r="D83" s="31">
        <f t="shared" si="1"/>
        <v>55</v>
      </c>
      <c r="E83" s="31">
        <f>IF(D83=" "," ",($E$26-$B$3*($F$8))*((D83/($F$8))-($C$18/(PI()))*SIN((PI()*D83)/($F$8)))+$B$3*D83)</f>
        <v>8.77902413730347</v>
      </c>
      <c r="F83" s="31">
        <f t="shared" si="5"/>
        <v>1.01025817143303</v>
      </c>
      <c r="G83" s="31"/>
      <c r="H83" s="31">
        <f t="shared" si="2"/>
        <v>55</v>
      </c>
      <c r="I83" s="31">
        <f>IF(H83=" "," ",($I$26-$D$3*$F$13)*((H83/$F$13)-($C$18/(PI()))*SIN((PI()*H83)/$F$13))+$D$3*H83)</f>
        <v>10.1820964931874</v>
      </c>
      <c r="J83" s="31">
        <f t="shared" si="6"/>
        <v>1.02057456951239</v>
      </c>
      <c r="K83" s="31">
        <f t="shared" si="3"/>
        <v>55</v>
      </c>
      <c r="L83" s="31">
        <f>IF(K83=" "," ",($L$26-$D$3*$F$12)*((K83/$F$12)-($C$18/(PI()))*SIN((PI()*K83)/$F$12))+$D$3*K83)</f>
        <v>8.89705914126427</v>
      </c>
      <c r="M83" s="31">
        <f t="shared" si="7"/>
        <v>1.01026101360825</v>
      </c>
    </row>
    <row r="84" spans="1:13">
      <c r="A84" s="31">
        <f t="shared" si="0"/>
        <v>56</v>
      </c>
      <c r="B84" s="31">
        <f>IF(A84=" "," ",($B$26-$B$3*($F$9))*((A84/($F$9))-($C$18/(PI()))*SIN((PI()*A84)/($F$9)))+$B$3*A84)</f>
        <v>9.12557137971413</v>
      </c>
      <c r="C84" s="31">
        <f t="shared" si="4"/>
        <v>1.00894253480909</v>
      </c>
      <c r="D84" s="31">
        <f t="shared" si="1"/>
        <v>56</v>
      </c>
      <c r="E84" s="31">
        <f>IF(D84=" "," ",($E$26-$B$3*($F$8))*((D84/($F$8))-($C$18/(PI()))*SIN((PI()*D84)/($F$8)))+$B$3*D84)</f>
        <v>9.12557137971413</v>
      </c>
      <c r="F84" s="31">
        <f t="shared" si="5"/>
        <v>1.00894253480909</v>
      </c>
      <c r="G84" s="31"/>
      <c r="H84" s="31">
        <f t="shared" si="2"/>
        <v>56</v>
      </c>
      <c r="I84" s="31">
        <f>IF(H84=" "," ",($I$26-$D$3*$F$13)*((H84/$F$13)-($C$18/(PI()))*SIN((PI()*H84)/$F$13))+$D$3*H84)</f>
        <v>10.637535360046</v>
      </c>
      <c r="J84" s="31">
        <f t="shared" si="6"/>
        <v>1.01954044417809</v>
      </c>
      <c r="K84" s="31">
        <f t="shared" si="3"/>
        <v>56</v>
      </c>
      <c r="L84" s="31">
        <f>IF(K84=" "," ",($L$26-$D$3*$F$12)*((K84/$F$12)-($C$18/(PI()))*SIN((PI()*K84)/$F$12))+$D$3*K84)</f>
        <v>9.24837758557138</v>
      </c>
      <c r="M84" s="31">
        <f t="shared" si="7"/>
        <v>1.00894498730303</v>
      </c>
    </row>
    <row r="85" spans="1:13">
      <c r="A85" s="31">
        <f t="shared" si="0"/>
        <v>57</v>
      </c>
      <c r="B85" s="31">
        <f>IF(A85=" "," ",($B$26-$B$3*($F$9))*((A85/($F$9))-($C$18/(PI()))*SIN((PI()*A85)/($F$9)))+$B$3*A85)</f>
        <v>9.47476616867183</v>
      </c>
      <c r="C85" s="31">
        <f t="shared" si="4"/>
        <v>1.00763978535399</v>
      </c>
      <c r="D85" s="31">
        <f t="shared" si="1"/>
        <v>57</v>
      </c>
      <c r="E85" s="31">
        <f>IF(D85=" "," ",($E$26-$B$3*($F$8))*((D85/($F$8))-($C$18/(PI()))*SIN((PI()*D85)/($F$8)))+$B$3*D85)</f>
        <v>9.47476616867183</v>
      </c>
      <c r="F85" s="31">
        <f t="shared" si="5"/>
        <v>1.00763978535399</v>
      </c>
      <c r="G85" s="31"/>
      <c r="H85" s="31">
        <f t="shared" si="2"/>
        <v>57</v>
      </c>
      <c r="I85" s="31">
        <f>IF(H85=" "," ",($I$26-$D$3*$F$13)*((H85/$F$13)-($C$18/(PI()))*SIN((PI()*H85)/$F$13))+$D$3*H85)</f>
        <v>11.1014119412822</v>
      </c>
      <c r="J85" s="31">
        <f t="shared" si="6"/>
        <v>1.01852655755028</v>
      </c>
      <c r="K85" s="31">
        <f t="shared" si="3"/>
        <v>57</v>
      </c>
      <c r="L85" s="31">
        <f>IF(K85=" "," ",($L$26-$D$3*$F$12)*((K85/$F$12)-($C$18/(PI()))*SIN((PI()*K85)/$F$12))+$D$3*K85)</f>
        <v>9.60238075694543</v>
      </c>
      <c r="M85" s="31">
        <f t="shared" si="7"/>
        <v>1.00764186199282</v>
      </c>
    </row>
    <row r="86" spans="1:13">
      <c r="A86" s="31">
        <f t="shared" si="0"/>
        <v>58</v>
      </c>
      <c r="B86" s="31">
        <f>IF(A86=" "," ",($B$26-$B$3*($F$9))*((A86/($F$9))-($C$18/(PI()))*SIN((PI()*A86)/($F$9)))+$B$3*A86)</f>
        <v>9.82617771111504</v>
      </c>
      <c r="C86" s="31">
        <f t="shared" si="4"/>
        <v>1.0063481860429</v>
      </c>
      <c r="D86" s="31">
        <f t="shared" si="1"/>
        <v>58</v>
      </c>
      <c r="E86" s="31">
        <f>IF(D86=" "," ",($E$26-$B$3*($F$8))*((D86/($F$8))-($C$18/(PI()))*SIN((PI()*D86)/($F$8)))+$B$3*D86)</f>
        <v>9.82617771111504</v>
      </c>
      <c r="F86" s="31">
        <f t="shared" si="5"/>
        <v>1.0063481860429</v>
      </c>
      <c r="G86" s="31"/>
      <c r="H86" s="31">
        <f t="shared" si="2"/>
        <v>58</v>
      </c>
      <c r="I86" s="31">
        <f>IF(H86=" "," ",($I$26-$D$3*$F$13)*((H86/$F$13)-($C$18/(PI()))*SIN((PI()*H86)/$F$13))+$D$3*H86)</f>
        <v>11.5734209965733</v>
      </c>
      <c r="J86" s="31">
        <f t="shared" si="6"/>
        <v>1.01753154693293</v>
      </c>
      <c r="K86" s="31">
        <f t="shared" si="3"/>
        <v>58</v>
      </c>
      <c r="L86" s="31">
        <f>IF(K86=" "," ",($L$26-$D$3*$F$12)*((K86/$F$12)-($C$18/(PI()))*SIN((PI()*K86)/$F$12))+$D$3*K86)</f>
        <v>9.95863181253134</v>
      </c>
      <c r="M86" s="31">
        <f t="shared" si="7"/>
        <v>1.00634989851404</v>
      </c>
    </row>
    <row r="87" spans="1:13">
      <c r="A87" s="31">
        <f t="shared" si="0"/>
        <v>59</v>
      </c>
      <c r="B87" s="31">
        <f>IF(A87=" "," ",($B$26-$B$3*($F$9))*((A87/($F$9))-($C$18/(PI()))*SIN((PI()*A87)/($F$9)))+$B$3*A87)</f>
        <v>10.1793695236078</v>
      </c>
      <c r="C87" s="31">
        <f t="shared" si="4"/>
        <v>1.00506605456731</v>
      </c>
      <c r="D87" s="31">
        <f t="shared" si="1"/>
        <v>59</v>
      </c>
      <c r="E87" s="31">
        <f>IF(D87=" "," ",($E$26-$B$3*($F$8))*((D87/($F$8))-($C$18/(PI()))*SIN((PI()*D87)/($F$8)))+$B$3*D87)</f>
        <v>10.1793695236078</v>
      </c>
      <c r="F87" s="31">
        <f t="shared" si="5"/>
        <v>1.00506605456731</v>
      </c>
      <c r="G87" s="31"/>
      <c r="H87" s="31">
        <f t="shared" si="2"/>
        <v>59</v>
      </c>
      <c r="I87" s="31">
        <f>IF(H87=" "," ",($I$26-$D$3*$F$13)*((H87/$F$13)-($C$18/(PI()))*SIN((PI()*H87)/$F$13))+$D$3*H87)</f>
        <v>12.0532437498965</v>
      </c>
      <c r="J87" s="31">
        <f t="shared" si="6"/>
        <v>1.0165541273933</v>
      </c>
      <c r="K87" s="31">
        <f t="shared" si="3"/>
        <v>59</v>
      </c>
      <c r="L87" s="31">
        <f>IF(K87=" "," ",($L$26-$D$3*$F$12)*((K87/$F$12)-($C$18/(PI()))*SIN((PI()*K87)/$F$12))+$D$3*K87)</f>
        <v>10.3166881391875</v>
      </c>
      <c r="M87" s="31">
        <f t="shared" si="7"/>
        <v>1.00506741255073</v>
      </c>
    </row>
    <row r="88" spans="1:13">
      <c r="A88" s="31">
        <f t="shared" si="0"/>
        <v>60</v>
      </c>
      <c r="B88" s="31">
        <f>IF(A88=" "," ",($B$26-$B$3*($F$9))*((A88/($F$9))-($C$18/(PI()))*SIN((PI()*A88)/($F$9)))+$B$3*A88)</f>
        <v>10.5339005527866</v>
      </c>
      <c r="C88" s="31">
        <f t="shared" si="4"/>
        <v>1.0037917546178</v>
      </c>
      <c r="D88" s="31">
        <f t="shared" si="1"/>
        <v>60</v>
      </c>
      <c r="E88" s="31">
        <f>IF(D88=" "," ",($E$26-$B$3*($F$8))*((D88/($F$8))-($C$18/(PI()))*SIN((PI()*D88)/($F$8)))+$B$3*D88)</f>
        <v>10.5339005527866</v>
      </c>
      <c r="F88" s="31">
        <f t="shared" si="5"/>
        <v>1.0037917546178</v>
      </c>
      <c r="G88" s="31"/>
      <c r="H88" s="31">
        <f t="shared" si="2"/>
        <v>60</v>
      </c>
      <c r="I88" s="31">
        <f>IF(H88=" "," ",($I$26-$D$3*$F$13)*((H88/$F$13)-($C$18/(PI()))*SIN((PI()*H88)/$F$13))+$D$3*H88)</f>
        <v>12.5405484200997</v>
      </c>
      <c r="J88" s="31">
        <f t="shared" si="6"/>
        <v>1.01559308479655</v>
      </c>
      <c r="K88" s="31">
        <f t="shared" si="3"/>
        <v>60</v>
      </c>
      <c r="L88" s="31">
        <f>IF(K88=" "," ",($L$26-$D$3*$F$12)*((K88/$F$12)-($C$18/(PI()))*SIN((PI()*K88)/$F$12))+$D$3*K88)</f>
        <v>10.6761024896675</v>
      </c>
      <c r="M88" s="31">
        <f t="shared" si="7"/>
        <v>1.00379276589367</v>
      </c>
    </row>
    <row r="89" spans="1:13">
      <c r="A89" s="31">
        <f t="shared" si="0"/>
        <v>61</v>
      </c>
      <c r="B89" s="31">
        <f>IF(A89=" "," ",($B$26-$B$3*($F$9))*((A89/($F$9))-($C$18/(PI()))*SIN((PI()*A89)/($F$9)))+$B$3*A89)</f>
        <v>10.8893263075378</v>
      </c>
      <c r="C89" s="31">
        <f t="shared" si="4"/>
        <v>1.00252368762881</v>
      </c>
      <c r="D89" s="31">
        <f t="shared" si="1"/>
        <v>61</v>
      </c>
      <c r="E89" s="31">
        <f>IF(D89=" "," ",($E$26-$B$3*($F$8))*((D89/($F$8))-($C$18/(PI()))*SIN((PI()*D89)/($F$8)))+$B$3*D89)</f>
        <v>10.8893263075378</v>
      </c>
      <c r="F89" s="31">
        <f t="shared" si="5"/>
        <v>1.00252368762881</v>
      </c>
      <c r="G89" s="31"/>
      <c r="H89" s="31">
        <f t="shared" si="2"/>
        <v>61</v>
      </c>
      <c r="I89" s="31">
        <f>IF(H89=" "," ",($I$26-$D$3*$F$13)*((H89/$F$13)-($C$18/(PI()))*SIN((PI()*H89)/$F$13))+$D$3*H89)</f>
        <v>13.0349907731182</v>
      </c>
      <c r="J89" s="31">
        <f t="shared" si="6"/>
        <v>1.01464726946382</v>
      </c>
      <c r="K89" s="31">
        <f t="shared" si="3"/>
        <v>61</v>
      </c>
      <c r="L89" s="31">
        <f>IF(K89=" "," ",($L$26-$D$3*$F$12)*((K89/$F$12)-($C$18/(PI()))*SIN((PI()*K89)/$F$12))+$D$3*K89)</f>
        <v>11.036424130697</v>
      </c>
      <c r="M89" s="31">
        <f t="shared" si="7"/>
        <v>1.00252435816303</v>
      </c>
    </row>
    <row r="90" spans="1:13">
      <c r="A90" s="31">
        <f t="shared" si="0"/>
        <v>62</v>
      </c>
      <c r="B90" s="31">
        <f>IF(A90=" "," ",($B$26-$B$3*($F$9))*((A90/($F$9))-($C$18/(PI()))*SIN((PI()*A90)/($F$9)))+$B$3*A90)</f>
        <v>11.2452</v>
      </c>
      <c r="C90" s="31">
        <f t="shared" si="4"/>
        <v>1.00126028489785</v>
      </c>
      <c r="D90" s="31">
        <f t="shared" si="1"/>
        <v>62</v>
      </c>
      <c r="E90" s="31">
        <f>IF(D90=" "," ",($E$26-$B$3*($F$8))*((D90/($F$8))-($C$18/(PI()))*SIN((PI()*D90)/($F$8)))+$B$3*D90)</f>
        <v>11.2452</v>
      </c>
      <c r="F90" s="31">
        <f t="shared" si="5"/>
        <v>1.00126028489785</v>
      </c>
      <c r="G90" s="31"/>
      <c r="H90" s="31">
        <f t="shared" si="2"/>
        <v>62</v>
      </c>
      <c r="I90" s="31">
        <f>IF(H90=" "," ",($I$26-$D$3*$F$13)*((H90/$F$13)-($C$18/(PI()))*SIN((PI()*H90)/$F$13))+$D$3*H90)</f>
        <v>13.5362146949191</v>
      </c>
      <c r="J90" s="31">
        <f t="shared" si="6"/>
        <v>1.01371559038367</v>
      </c>
      <c r="K90" s="31">
        <f t="shared" si="3"/>
        <v>62</v>
      </c>
      <c r="L90" s="31">
        <f>IF(K90=" "," ",($L$26-$D$3*$F$12)*((K90/$F$12)-($C$18/(PI()))*SIN((PI()*K90)/$F$12))+$D$3*K90)</f>
        <v>11.3972</v>
      </c>
      <c r="M90" s="31">
        <f t="shared" si="7"/>
        <v>1.0012606189076</v>
      </c>
    </row>
    <row r="91" spans="1:13">
      <c r="A91" s="31" t="str">
        <f t="shared" si="0"/>
        <v> </v>
      </c>
      <c r="B91" s="31" t="str">
        <f>IF(A91=" "," ",($B$26-$B$3*($F$9))*((A91/($F$9))-($C$18/(PI()))*SIN((PI()*A91)/($F$9)))+$B$3*A91)</f>
        <v> </v>
      </c>
      <c r="C91" s="31" t="str">
        <f t="shared" si="4"/>
        <v> </v>
      </c>
      <c r="D91" s="31" t="str">
        <f t="shared" si="1"/>
        <v> </v>
      </c>
      <c r="E91" s="31" t="str">
        <f>IF(D91=" "," ",($E$26-$B$3*($F$8))*((D91/($F$8))-($C$18/(PI()))*SIN((PI()*D91)/($F$8)))+$B$3*D91)</f>
        <v> </v>
      </c>
      <c r="F91" s="31" t="str">
        <f t="shared" si="5"/>
        <v> </v>
      </c>
      <c r="G91" s="31"/>
      <c r="H91" s="31">
        <f t="shared" si="2"/>
        <v>63</v>
      </c>
      <c r="I91" s="31">
        <f>IF(H91=" "," ",($I$26-$D$3*$F$13)*((H91/$F$13)-($C$18/(PI()))*SIN((PI()*H91)/$F$13))+$D$3*H91)</f>
        <v>14.0438527842173</v>
      </c>
      <c r="J91" s="31">
        <f t="shared" si="6"/>
        <v>1.01279700991573</v>
      </c>
      <c r="K91" s="31" t="str">
        <f t="shared" si="3"/>
        <v> </v>
      </c>
      <c r="L91" s="31" t="str">
        <f>IF(K91=" "," ",($L$26-$D$3*$F$12)*((K91/$F$12)-($C$18/(PI()))*SIN((PI()*K91)/$F$12))+$D$3*K91)</f>
        <v> </v>
      </c>
      <c r="M91" s="31" t="str">
        <f t="shared" si="7"/>
        <v> </v>
      </c>
    </row>
    <row r="92" spans="1:13">
      <c r="A92" s="31" t="str">
        <f t="shared" si="0"/>
        <v> </v>
      </c>
      <c r="B92" s="31" t="str">
        <f>IF(A92=" "," ",($B$26-$B$3*($F$9))*((A92/($F$9))-($C$18/(PI()))*SIN((PI()*A92)/($F$9)))+$B$3*A92)</f>
        <v> </v>
      </c>
      <c r="C92" s="31" t="str">
        <f t="shared" si="4"/>
        <v> </v>
      </c>
      <c r="D92" s="31" t="str">
        <f t="shared" si="1"/>
        <v> </v>
      </c>
      <c r="E92" s="31" t="str">
        <f>IF(D92=" "," ",($E$26-$B$3*($F$8))*((D92/($F$8))-($C$18/(PI()))*SIN((PI()*D92)/($F$8)))+$B$3*D92)</f>
        <v> </v>
      </c>
      <c r="F92" s="31" t="str">
        <f t="shared" si="5"/>
        <v> </v>
      </c>
      <c r="G92" s="31"/>
      <c r="H92" s="31">
        <f t="shared" si="2"/>
        <v>64</v>
      </c>
      <c r="I92" s="31">
        <f>IF(H92=" "," ",($I$26-$D$3*$F$13)*((H92/$F$13)-($C$18/(PI()))*SIN((PI()*H92)/$F$13))+$D$3*H92)</f>
        <v>14.5575269639789</v>
      </c>
      <c r="J92" s="31">
        <f t="shared" si="6"/>
        <v>1.01189053893055</v>
      </c>
      <c r="K92" s="31" t="str">
        <f t="shared" si="3"/>
        <v> </v>
      </c>
      <c r="L92" s="31" t="str">
        <f>IF(K92=" "," ",($L$26-$D$3*$F$12)*((K92/$F$12)-($C$18/(PI()))*SIN((PI()*K92)/$F$12))+$D$3*K92)</f>
        <v> </v>
      </c>
      <c r="M92" s="31" t="str">
        <f t="shared" si="7"/>
        <v> </v>
      </c>
    </row>
    <row r="93" spans="1:13">
      <c r="A93" s="31" t="str">
        <f t="shared" ref="A93:A156" si="8">IF(($F$9)-ROW(A65)&gt;=0,($F$9)-(($F$9)-ROW(A65))," ")</f>
        <v> </v>
      </c>
      <c r="B93" s="31" t="str">
        <f>IF(A93=" "," ",($B$26-$B$3*($F$9))*((A93/($F$9))-($C$18/(PI()))*SIN((PI()*A93)/($F$9)))+$B$3*A93)</f>
        <v> </v>
      </c>
      <c r="C93" s="31" t="str">
        <f t="shared" si="4"/>
        <v> </v>
      </c>
      <c r="D93" s="31" t="str">
        <f t="shared" ref="D93:D156" si="9">IF(($F$8)-ROW(D65)&gt;=0,($F$8)-(($F$8)-ROW(D65))," ")</f>
        <v> </v>
      </c>
      <c r="E93" s="31" t="str">
        <f>IF(D93=" "," ",($E$26-$B$3*($F$8))*((D93/($F$8))-($C$18/(PI()))*SIN((PI()*D93)/($F$8)))+$B$3*D93)</f>
        <v> </v>
      </c>
      <c r="F93" s="31" t="str">
        <f t="shared" si="5"/>
        <v> </v>
      </c>
      <c r="G93" s="31"/>
      <c r="H93" s="31">
        <f t="shared" ref="H93:H156" si="10">IF($F$13-ROW(H65)&gt;=0,$F$13-($F$13-ROW(H65))," ")</f>
        <v>65</v>
      </c>
      <c r="I93" s="31">
        <f>IF(H93=" "," ",($I$26-$D$3*$F$13)*((H93/$F$13)-($C$18/(PI()))*SIN((PI()*H93)/$F$13))+$D$3*H93)</f>
        <v>15.0768491106933</v>
      </c>
      <c r="J93" s="31">
        <f t="shared" si="6"/>
        <v>1.01099523233838</v>
      </c>
      <c r="K93" s="31" t="str">
        <f t="shared" ref="K93:K156" si="11">IF($F$12-ROW(K65)&gt;=0,$F$12-($F$12-ROW(K65))," ")</f>
        <v> </v>
      </c>
      <c r="L93" s="31" t="str">
        <f>IF(K93=" "," ",($L$26-$D$3*$F$12)*((K93/$F$12)-($C$18/(PI()))*SIN((PI()*K93)/$F$12))+$D$3*K93)</f>
        <v> </v>
      </c>
      <c r="M93" s="31" t="str">
        <f t="shared" si="7"/>
        <v> </v>
      </c>
    </row>
    <row r="94" spans="1:13">
      <c r="A94" s="31" t="str">
        <f t="shared" si="8"/>
        <v> </v>
      </c>
      <c r="B94" s="31" t="str">
        <f>IF(A94=" "," ",($B$26-$B$3*($F$9))*((A94/($F$9))-($C$18/(PI()))*SIN((PI()*A94)/($F$9)))+$B$3*A94)</f>
        <v> </v>
      </c>
      <c r="C94" s="31" t="str">
        <f t="shared" ref="C94:C157" si="12">IF(A94=" "," ",(B94-B93)/(B93-B92))</f>
        <v> </v>
      </c>
      <c r="D94" s="31" t="str">
        <f t="shared" si="9"/>
        <v> </v>
      </c>
      <c r="E94" s="31" t="str">
        <f>IF(D94=" "," ",($E$26-$B$3*($F$8))*((D94/($F$8))-($C$18/(PI()))*SIN((PI()*D94)/($F$8)))+$B$3*D94)</f>
        <v> </v>
      </c>
      <c r="F94" s="31" t="str">
        <f t="shared" ref="F94:F157" si="13">IF(D94=" "," ",(E94-E93)/(E93-E92))</f>
        <v> </v>
      </c>
      <c r="G94" s="31"/>
      <c r="H94" s="31">
        <f t="shared" si="10"/>
        <v>66</v>
      </c>
      <c r="I94" s="31">
        <f>IF(H94=" "," ",($I$26-$D$3*$F$13)*((H94/$F$13)-($C$18/(PI()))*SIN((PI()*H94)/$F$13))+$D$3*H94)</f>
        <v>15.601421700366</v>
      </c>
      <c r="J94" s="31">
        <f t="shared" ref="J94:J157" si="14">IF(H94=" "," ",(I94-I93)/(I93-I92))</f>
        <v>1.01011018496245</v>
      </c>
      <c r="K94" s="31" t="str">
        <f t="shared" si="11"/>
        <v> </v>
      </c>
      <c r="L94" s="31" t="str">
        <f>IF(K94=" "," ",($L$26-$D$3*$F$12)*((K94/$F$12)-($C$18/(PI()))*SIN((PI()*K94)/$F$12))+$D$3*K94)</f>
        <v> </v>
      </c>
      <c r="M94" s="31" t="str">
        <f t="shared" ref="M94:M157" si="15">IF(K94=" "," ",(L94-L93)/(L93-L92))</f>
        <v> </v>
      </c>
    </row>
    <row r="95" spans="1:13">
      <c r="A95" s="31" t="str">
        <f t="shared" si="8"/>
        <v> </v>
      </c>
      <c r="B95" s="31" t="str">
        <f>IF(A95=" "," ",($B$26-$B$3*($F$9))*((A95/($F$9))-($C$18/(PI()))*SIN((PI()*A95)/($F$9)))+$B$3*A95)</f>
        <v> </v>
      </c>
      <c r="C95" s="31" t="str">
        <f t="shared" si="12"/>
        <v> </v>
      </c>
      <c r="D95" s="31" t="str">
        <f t="shared" si="9"/>
        <v> </v>
      </c>
      <c r="E95" s="31" t="str">
        <f>IF(D95=" "," ",($E$26-$B$3*($F$8))*((D95/($F$8))-($C$18/(PI()))*SIN((PI()*D95)/($F$8)))+$B$3*D95)</f>
        <v> </v>
      </c>
      <c r="F95" s="31" t="str">
        <f t="shared" si="13"/>
        <v> </v>
      </c>
      <c r="G95" s="31"/>
      <c r="H95" s="31">
        <f t="shared" si="10"/>
        <v>67</v>
      </c>
      <c r="I95" s="31">
        <f>IF(H95=" "," ",($I$26-$D$3*$F$13)*((H95/$F$13)-($C$18/(PI()))*SIN((PI()*H95)/$F$13))+$D$3*H95)</f>
        <v>16.1308384701586</v>
      </c>
      <c r="J95" s="31">
        <f t="shared" si="14"/>
        <v>1.00923452771889</v>
      </c>
      <c r="K95" s="31" t="str">
        <f t="shared" si="11"/>
        <v> </v>
      </c>
      <c r="L95" s="31" t="str">
        <f>IF(K95=" "," ",($L$26-$D$3*$F$12)*((K95/$F$12)-($C$18/(PI()))*SIN((PI()*K95)/$F$12))+$D$3*K95)</f>
        <v> </v>
      </c>
      <c r="M95" s="31" t="str">
        <f t="shared" si="15"/>
        <v> </v>
      </c>
    </row>
    <row r="96" spans="1:13">
      <c r="A96" s="31" t="str">
        <f t="shared" si="8"/>
        <v> </v>
      </c>
      <c r="B96" s="31" t="str">
        <f>IF(A96=" "," ",($B$26-$B$3*($F$9))*((A96/($F$9))-($C$18/(PI()))*SIN((PI()*A96)/($F$9)))+$B$3*A96)</f>
        <v> </v>
      </c>
      <c r="C96" s="31" t="str">
        <f t="shared" si="12"/>
        <v> </v>
      </c>
      <c r="D96" s="31" t="str">
        <f t="shared" si="9"/>
        <v> </v>
      </c>
      <c r="E96" s="31" t="str">
        <f>IF(D96=" "," ",($E$26-$B$3*($F$8))*((D96/($F$8))-($C$18/(PI()))*SIN((PI()*D96)/($F$8)))+$B$3*D96)</f>
        <v> </v>
      </c>
      <c r="F96" s="31" t="str">
        <f t="shared" si="13"/>
        <v> </v>
      </c>
      <c r="G96" s="31"/>
      <c r="H96" s="31">
        <f t="shared" si="10"/>
        <v>68</v>
      </c>
      <c r="I96" s="31">
        <f>IF(H96=" "," ",($I$26-$D$3*$F$13)*((H96/$F$13)-($C$18/(PI()))*SIN((PI()*H96)/$F$13))+$D$3*H96)</f>
        <v>16.6646850945729</v>
      </c>
      <c r="J96" s="31">
        <f t="shared" si="14"/>
        <v>1.00836742406824</v>
      </c>
      <c r="K96" s="31" t="str">
        <f t="shared" si="11"/>
        <v> </v>
      </c>
      <c r="L96" s="31" t="str">
        <f>IF(K96=" "," ",($L$26-$D$3*$F$12)*((K96/$F$12)-($C$18/(PI()))*SIN((PI()*K96)/$F$12))+$D$3*K96)</f>
        <v> </v>
      </c>
      <c r="M96" s="31" t="str">
        <f t="shared" si="15"/>
        <v> </v>
      </c>
    </row>
    <row r="97" spans="1:13">
      <c r="A97" s="31" t="str">
        <f t="shared" si="8"/>
        <v> </v>
      </c>
      <c r="B97" s="31" t="str">
        <f>IF(A97=" "," ",($B$26-$B$3*($F$9))*((A97/($F$9))-($C$18/(PI()))*SIN((PI()*A97)/($F$9)))+$B$3*A97)</f>
        <v> </v>
      </c>
      <c r="C97" s="31" t="str">
        <f t="shared" si="12"/>
        <v> </v>
      </c>
      <c r="D97" s="31" t="str">
        <f t="shared" si="9"/>
        <v> </v>
      </c>
      <c r="E97" s="31" t="str">
        <f>IF(D97=" "," ",($E$26-$B$3*($F$8))*((D97/($F$8))-($C$18/(PI()))*SIN((PI()*D97)/($F$8)))+$B$3*D97)</f>
        <v> </v>
      </c>
      <c r="F97" s="31" t="str">
        <f t="shared" si="13"/>
        <v> </v>
      </c>
      <c r="G97" s="31"/>
      <c r="H97" s="31">
        <f t="shared" si="10"/>
        <v>69</v>
      </c>
      <c r="I97" s="31">
        <f>IF(H97=" "," ",($I$26-$D$3*$F$13)*((H97/$F$13)-($C$18/(PI()))*SIN((PI()*H97)/$F$13))+$D$3*H97)</f>
        <v>17.2025398750548</v>
      </c>
      <c r="J97" s="31">
        <f t="shared" si="14"/>
        <v>1.00750806670743</v>
      </c>
      <c r="K97" s="31" t="str">
        <f t="shared" si="11"/>
        <v> </v>
      </c>
      <c r="L97" s="31" t="str">
        <f>IF(K97=" "," ",($L$26-$D$3*$F$12)*((K97/$F$12)-($C$18/(PI()))*SIN((PI()*K97)/$F$12))+$D$3*K97)</f>
        <v> </v>
      </c>
      <c r="M97" s="31" t="str">
        <f t="shared" si="15"/>
        <v> </v>
      </c>
    </row>
    <row r="98" spans="1:13">
      <c r="A98" s="31" t="str">
        <f t="shared" si="8"/>
        <v> </v>
      </c>
      <c r="B98" s="31" t="str">
        <f>IF(A98=" "," ",($B$26-$B$3*($F$9))*((A98/($F$9))-($C$18/(PI()))*SIN((PI()*A98)/($F$9)))+$B$3*A98)</f>
        <v> </v>
      </c>
      <c r="C98" s="31" t="str">
        <f t="shared" si="12"/>
        <v> </v>
      </c>
      <c r="D98" s="31" t="str">
        <f t="shared" si="9"/>
        <v> </v>
      </c>
      <c r="E98" s="31" t="str">
        <f>IF(D98=" "," ",($E$26-$B$3*($F$8))*((D98/($F$8))-($C$18/(PI()))*SIN((PI()*D98)/($F$8)))+$B$3*D98)</f>
        <v> </v>
      </c>
      <c r="F98" s="31" t="str">
        <f t="shared" si="13"/>
        <v> </v>
      </c>
      <c r="G98" s="31"/>
      <c r="H98" s="31">
        <f t="shared" si="10"/>
        <v>70</v>
      </c>
      <c r="I98" s="31">
        <f>IF(H98=" "," ",($I$26-$D$3*$F$13)*((H98/$F$13)-($C$18/(PI()))*SIN((PI()*H98)/$F$13))+$D$3*H98)</f>
        <v>17.7439744418701</v>
      </c>
      <c r="J98" s="31">
        <f t="shared" si="14"/>
        <v>1.00665567447436</v>
      </c>
      <c r="K98" s="31" t="str">
        <f t="shared" si="11"/>
        <v> </v>
      </c>
      <c r="L98" s="31" t="str">
        <f>IF(K98=" "," ",($L$26-$D$3*$F$12)*((K98/$F$12)-($C$18/(PI()))*SIN((PI()*K98)/$F$12))+$D$3*K98)</f>
        <v> </v>
      </c>
      <c r="M98" s="31" t="str">
        <f t="shared" si="15"/>
        <v> </v>
      </c>
    </row>
    <row r="99" spans="1:13">
      <c r="A99" s="31" t="str">
        <f t="shared" si="8"/>
        <v> </v>
      </c>
      <c r="B99" s="31" t="str">
        <f>IF(A99=" "," ",($B$26-$B$3*($F$9))*((A99/($F$9))-($C$18/(PI()))*SIN((PI()*A99)/($F$9)))+$B$3*A99)</f>
        <v> </v>
      </c>
      <c r="C99" s="31" t="str">
        <f t="shared" si="12"/>
        <v> </v>
      </c>
      <c r="D99" s="31" t="str">
        <f t="shared" si="9"/>
        <v> </v>
      </c>
      <c r="E99" s="31" t="str">
        <f>IF(D99=" "," ",($E$26-$B$3*($F$8))*((D99/($F$8))-($C$18/(PI()))*SIN((PI()*D99)/($F$8)))+$B$3*D99)</f>
        <v> </v>
      </c>
      <c r="F99" s="31" t="str">
        <f t="shared" si="13"/>
        <v> </v>
      </c>
      <c r="G99" s="31"/>
      <c r="H99" s="31">
        <f t="shared" si="10"/>
        <v>71</v>
      </c>
      <c r="I99" s="31">
        <f>IF(H99=" "," ",($I$26-$D$3*$F$13)*((H99/$F$13)-($C$18/(PI()))*SIN((PI()*H99)/$F$13))+$D$3*H99)</f>
        <v>18.2885544670835</v>
      </c>
      <c r="J99" s="31">
        <f t="shared" si="14"/>
        <v>1.00580948943942</v>
      </c>
      <c r="K99" s="31" t="str">
        <f t="shared" si="11"/>
        <v> </v>
      </c>
      <c r="L99" s="31" t="str">
        <f>IF(K99=" "," ",($L$26-$D$3*$F$12)*((K99/$F$12)-($C$18/(PI()))*SIN((PI()*K99)/$F$12))+$D$3*K99)</f>
        <v> </v>
      </c>
      <c r="M99" s="31" t="str">
        <f t="shared" si="15"/>
        <v> </v>
      </c>
    </row>
    <row r="100" spans="1:13">
      <c r="A100" s="31" t="str">
        <f t="shared" si="8"/>
        <v> </v>
      </c>
      <c r="B100" s="31" t="str">
        <f>IF(A100=" "," ",($B$26-$B$3*($F$9))*((A100/($F$9))-($C$18/(PI()))*SIN((PI()*A100)/($F$9)))+$B$3*A100)</f>
        <v> </v>
      </c>
      <c r="C100" s="31" t="str">
        <f t="shared" si="12"/>
        <v> </v>
      </c>
      <c r="D100" s="31" t="str">
        <f t="shared" si="9"/>
        <v> </v>
      </c>
      <c r="E100" s="31" t="str">
        <f>IF(D100=" "," ",($E$26-$B$3*($F$8))*((D100/($F$8))-($C$18/(PI()))*SIN((PI()*D100)/($F$8)))+$B$3*D100)</f>
        <v> </v>
      </c>
      <c r="F100" s="31" t="str">
        <f t="shared" si="13"/>
        <v> </v>
      </c>
      <c r="G100" s="31"/>
      <c r="H100" s="31">
        <f t="shared" si="10"/>
        <v>72</v>
      </c>
      <c r="I100" s="31">
        <f>IF(H100=" "," ",($I$26-$D$3*$F$13)*((H100/$F$13)-($C$18/(PI()))*SIN((PI()*H100)/$F$13))+$D$3*H100)</f>
        <v>18.8358403874544</v>
      </c>
      <c r="J100" s="31">
        <f t="shared" si="14"/>
        <v>1.00496877416052</v>
      </c>
      <c r="K100" s="31" t="str">
        <f t="shared" si="11"/>
        <v> </v>
      </c>
      <c r="L100" s="31" t="str">
        <f>IF(K100=" "," ",($L$26-$D$3*$F$12)*((K100/$F$12)-($C$18/(PI()))*SIN((PI()*K100)/$F$12))+$D$3*K100)</f>
        <v> </v>
      </c>
      <c r="M100" s="31" t="str">
        <f t="shared" si="15"/>
        <v> </v>
      </c>
    </row>
    <row r="101" spans="1:13">
      <c r="A101" s="31" t="str">
        <f t="shared" si="8"/>
        <v> </v>
      </c>
      <c r="B101" s="31" t="str">
        <f>IF(A101=" "," ",($B$26-$B$3*($F$9))*((A101/($F$9))-($C$18/(PI()))*SIN((PI()*A101)/($F$9)))+$B$3*A101)</f>
        <v> </v>
      </c>
      <c r="C101" s="31" t="str">
        <f t="shared" si="12"/>
        <v> </v>
      </c>
      <c r="D101" s="31" t="str">
        <f t="shared" si="9"/>
        <v> </v>
      </c>
      <c r="E101" s="31" t="str">
        <f>IF(D101=" "," ",($E$26-$B$3*($F$8))*((D101/($F$8))-($C$18/(PI()))*SIN((PI()*D101)/($F$8)))+$B$3*D101)</f>
        <v> </v>
      </c>
      <c r="F101" s="31" t="str">
        <f t="shared" si="13"/>
        <v> </v>
      </c>
      <c r="G101" s="31"/>
      <c r="H101" s="31">
        <f t="shared" si="10"/>
        <v>73</v>
      </c>
      <c r="I101" s="31">
        <f>IF(H101=" "," ",($I$26-$D$3*$F$13)*((H101/$F$13)-($C$18/(PI()))*SIN((PI()*H101)/$F$13))+$D$3*H101)</f>
        <v>19.3853881360472</v>
      </c>
      <c r="J101" s="31">
        <f t="shared" si="14"/>
        <v>1.00413280908131</v>
      </c>
      <c r="K101" s="31" t="str">
        <f t="shared" si="11"/>
        <v> </v>
      </c>
      <c r="L101" s="31" t="str">
        <f>IF(K101=" "," ",($L$26-$D$3*$F$12)*((K101/$F$12)-($C$18/(PI()))*SIN((PI()*K101)/$F$12))+$D$3*K101)</f>
        <v> </v>
      </c>
      <c r="M101" s="31" t="str">
        <f t="shared" si="15"/>
        <v> </v>
      </c>
    </row>
    <row r="102" spans="1:13">
      <c r="A102" s="31" t="str">
        <f t="shared" si="8"/>
        <v> </v>
      </c>
      <c r="B102" s="31" t="str">
        <f>IF(A102=" "," ",($B$26-$B$3*($F$9))*((A102/($F$9))-($C$18/(PI()))*SIN((PI()*A102)/($F$9)))+$B$3*A102)</f>
        <v> </v>
      </c>
      <c r="C102" s="31" t="str">
        <f t="shared" si="12"/>
        <v> </v>
      </c>
      <c r="D102" s="31" t="str">
        <f t="shared" si="9"/>
        <v> </v>
      </c>
      <c r="E102" s="31" t="str">
        <f>IF(D102=" "," ",($E$26-$B$3*($F$8))*((D102/($F$8))-($C$18/(PI()))*SIN((PI()*D102)/($F$8)))+$B$3*D102)</f>
        <v> </v>
      </c>
      <c r="F102" s="31" t="str">
        <f t="shared" si="13"/>
        <v> </v>
      </c>
      <c r="G102" s="31"/>
      <c r="H102" s="31">
        <f t="shared" si="10"/>
        <v>74</v>
      </c>
      <c r="I102" s="31">
        <f>IF(H102=" "," ",($I$26-$D$3*$F$13)*((H102/$F$13)-($C$18/(PI()))*SIN((PI()*H102)/$F$13))+$D$3*H102)</f>
        <v>19.936749881336</v>
      </c>
      <c r="J102" s="31">
        <f t="shared" si="14"/>
        <v>1.00330089005131</v>
      </c>
      <c r="K102" s="31" t="str">
        <f t="shared" si="11"/>
        <v> </v>
      </c>
      <c r="L102" s="31" t="str">
        <f>IF(K102=" "," ",($L$26-$D$3*$F$12)*((K102/$F$12)-($C$18/(PI()))*SIN((PI()*K102)/$F$12))+$D$3*K102)</f>
        <v> </v>
      </c>
      <c r="M102" s="31" t="str">
        <f t="shared" si="15"/>
        <v> </v>
      </c>
    </row>
    <row r="103" spans="1:13">
      <c r="A103" s="31" t="str">
        <f t="shared" si="8"/>
        <v> </v>
      </c>
      <c r="B103" s="31" t="str">
        <f>IF(A103=" "," ",($B$26-$B$3*($F$9))*((A103/($F$9))-($C$18/(PI()))*SIN((PI()*A103)/($F$9)))+$B$3*A103)</f>
        <v> </v>
      </c>
      <c r="C103" s="31" t="str">
        <f t="shared" si="12"/>
        <v> </v>
      </c>
      <c r="D103" s="31" t="str">
        <f t="shared" si="9"/>
        <v> </v>
      </c>
      <c r="E103" s="31" t="str">
        <f>IF(D103=" "," ",($E$26-$B$3*($F$8))*((D103/($F$8))-($C$18/(PI()))*SIN((PI()*D103)/($F$8)))+$B$3*D103)</f>
        <v> </v>
      </c>
      <c r="F103" s="31" t="str">
        <f t="shared" si="13"/>
        <v> </v>
      </c>
      <c r="G103" s="31"/>
      <c r="H103" s="31">
        <f t="shared" si="10"/>
        <v>75</v>
      </c>
      <c r="I103" s="31">
        <f>IF(H103=" "," ",($I$26-$D$3*$F$13)*((H103/$F$13)-($C$18/(PI()))*SIN((PI()*H103)/$F$13))+$D$3*H103)</f>
        <v>20.4894747725766</v>
      </c>
      <c r="J103" s="31">
        <f t="shared" si="14"/>
        <v>1.00247232595208</v>
      </c>
      <c r="K103" s="31" t="str">
        <f t="shared" si="11"/>
        <v> </v>
      </c>
      <c r="L103" s="31" t="str">
        <f>IF(K103=" "," ",($L$26-$D$3*$F$12)*((K103/$F$12)-($C$18/(PI()))*SIN((PI()*K103)/$F$12))+$D$3*K103)</f>
        <v> </v>
      </c>
      <c r="M103" s="31" t="str">
        <f t="shared" si="15"/>
        <v> </v>
      </c>
    </row>
    <row r="104" spans="1:13">
      <c r="A104" s="31" t="str">
        <f t="shared" si="8"/>
        <v> </v>
      </c>
      <c r="B104" s="31" t="str">
        <f>IF(A104=" "," ",($B$26-$B$3*($F$9))*((A104/($F$9))-($C$18/(PI()))*SIN((PI()*A104)/($F$9)))+$B$3*A104)</f>
        <v> </v>
      </c>
      <c r="C104" s="31" t="str">
        <f t="shared" si="12"/>
        <v> </v>
      </c>
      <c r="D104" s="31" t="str">
        <f t="shared" si="9"/>
        <v> </v>
      </c>
      <c r="E104" s="31" t="str">
        <f>IF(D104=" "," ",($E$26-$B$3*($F$8))*((D104/($F$8))-($C$18/(PI()))*SIN((PI()*D104)/($F$8)))+$B$3*D104)</f>
        <v> </v>
      </c>
      <c r="F104" s="31" t="str">
        <f t="shared" si="13"/>
        <v> </v>
      </c>
      <c r="G104" s="31"/>
      <c r="H104" s="31">
        <f t="shared" si="10"/>
        <v>76</v>
      </c>
      <c r="I104" s="31">
        <f>IF(H104=" "," ",($I$26-$D$3*$F$13)*((H104/$F$13)-($C$18/(PI()))*SIN((PI()*H104)/$F$13))+$D$3*H104)</f>
        <v>21.043109690203</v>
      </c>
      <c r="J104" s="31">
        <f t="shared" si="14"/>
        <v>1.00164643641018</v>
      </c>
      <c r="K104" s="31" t="str">
        <f t="shared" si="11"/>
        <v> </v>
      </c>
      <c r="L104" s="31" t="str">
        <f>IF(K104=" "," ",($L$26-$D$3*$F$12)*((K104/$F$12)-($C$18/(PI()))*SIN((PI()*K104)/$F$12))+$D$3*K104)</f>
        <v> </v>
      </c>
      <c r="M104" s="31" t="str">
        <f t="shared" si="15"/>
        <v> </v>
      </c>
    </row>
    <row r="105" spans="1:13">
      <c r="A105" s="31" t="str">
        <f t="shared" si="8"/>
        <v> </v>
      </c>
      <c r="B105" s="31" t="str">
        <f>IF(A105=" "," ",($B$26-$B$3*($F$9))*((A105/($F$9))-($C$18/(PI()))*SIN((PI()*A105)/($F$9)))+$B$3*A105)</f>
        <v> </v>
      </c>
      <c r="C105" s="31" t="str">
        <f t="shared" si="12"/>
        <v> </v>
      </c>
      <c r="D105" s="31" t="str">
        <f t="shared" si="9"/>
        <v> </v>
      </c>
      <c r="E105" s="31" t="str">
        <f>IF(D105=" "," ",($E$26-$B$3*($F$8))*((D105/($F$8))-($C$18/(PI()))*SIN((PI()*D105)/($F$8)))+$B$3*D105)</f>
        <v> </v>
      </c>
      <c r="F105" s="31" t="str">
        <f t="shared" si="13"/>
        <v> </v>
      </c>
      <c r="G105" s="31"/>
      <c r="H105" s="31">
        <f t="shared" si="10"/>
        <v>77</v>
      </c>
      <c r="I105" s="31">
        <f>IF(H105=" "," ",($I$26-$D$3*$F$13)*((H105/$F$13)-($C$18/(PI()))*SIN((PI()*H105)/$F$13))+$D$3*H105)</f>
        <v>21.5972</v>
      </c>
      <c r="J105" s="31">
        <f t="shared" si="14"/>
        <v>1.00082254958284</v>
      </c>
      <c r="K105" s="31" t="str">
        <f t="shared" si="11"/>
        <v> </v>
      </c>
      <c r="L105" s="31" t="str">
        <f>IF(K105=" "," ",($L$26-$D$3*$F$12)*((K105/$F$12)-($C$18/(PI()))*SIN((PI()*K105)/$F$12))+$D$3*K105)</f>
        <v> </v>
      </c>
      <c r="M105" s="31" t="str">
        <f t="shared" si="15"/>
        <v> </v>
      </c>
    </row>
    <row r="106" spans="1:13">
      <c r="A106" s="31" t="str">
        <f t="shared" si="8"/>
        <v> </v>
      </c>
      <c r="B106" s="31" t="str">
        <f>IF(A106=" "," ",($B$26-$B$3*($F$9))*((A106/($F$9))-($C$18/(PI()))*SIN((PI()*A106)/($F$9)))+$B$3*A106)</f>
        <v> </v>
      </c>
      <c r="C106" s="31" t="str">
        <f t="shared" si="12"/>
        <v> </v>
      </c>
      <c r="D106" s="31" t="str">
        <f t="shared" si="9"/>
        <v> </v>
      </c>
      <c r="E106" s="31" t="str">
        <f>IF(D106=" "," ",($E$26-$B$3*($F$8))*((D106/($F$8))-($C$18/(PI()))*SIN((PI()*D106)/($F$8)))+$B$3*D106)</f>
        <v> </v>
      </c>
      <c r="F106" s="31" t="str">
        <f t="shared" si="13"/>
        <v> </v>
      </c>
      <c r="G106" s="31"/>
      <c r="H106" s="31" t="str">
        <f t="shared" si="10"/>
        <v> </v>
      </c>
      <c r="I106" s="31" t="str">
        <f>IF(H106=" "," ",($I$26-$D$3*$F$13)*((H106/$F$13)-($C$18/(PI()))*SIN((PI()*H106)/$F$13))+$D$3*H106)</f>
        <v> </v>
      </c>
      <c r="J106" s="31" t="str">
        <f t="shared" si="14"/>
        <v> </v>
      </c>
      <c r="K106" s="31" t="str">
        <f t="shared" si="11"/>
        <v> </v>
      </c>
      <c r="L106" s="31" t="str">
        <f>IF(K106=" "," ",($L$26-$D$3*$F$12)*((K106/$F$12)-($C$18/(PI()))*SIN((PI()*K106)/$F$12))+$D$3*K106)</f>
        <v> </v>
      </c>
      <c r="M106" s="31" t="str">
        <f t="shared" si="15"/>
        <v> 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 t="str">
        <f t="shared" si="10"/>
        <v> </v>
      </c>
      <c r="I107" s="31" t="str">
        <f>IF(H107=" "," ",($I$26-$D$3*$F$13)*((H107/$F$13)-($C$18/(PI()))*SIN((PI()*H107)/$F$13))+$D$3*H107)</f>
        <v> </v>
      </c>
      <c r="J107" s="31" t="str">
        <f t="shared" si="14"/>
        <v> </v>
      </c>
      <c r="K107" s="31" t="str">
        <f t="shared" si="11"/>
        <v> </v>
      </c>
      <c r="L107" s="31" t="str">
        <f>IF(K107=" "," ",($L$26-$D$3*$F$12)*((K107/$F$12)-($C$18/(PI()))*SIN((PI()*K107)/$F$12))+$D$3*K107)</f>
        <v> </v>
      </c>
      <c r="M107" s="31" t="str">
        <f t="shared" si="15"/>
        <v> 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 t="str">
        <f t="shared" si="10"/>
        <v> </v>
      </c>
      <c r="I108" s="31" t="str">
        <f>IF(H108=" "," ",($I$26-$D$3*$F$13)*((H108/$F$13)-($C$18/(PI()))*SIN((PI()*H108)/$F$13))+$D$3*H108)</f>
        <v> </v>
      </c>
      <c r="J108" s="31" t="str">
        <f t="shared" si="14"/>
        <v> 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 t="str">
        <f t="shared" si="10"/>
        <v> </v>
      </c>
      <c r="I109" s="31" t="str">
        <f>IF(H109=" "," ",($I$26-$D$3*$F$13)*((H109/$F$13)-($C$18/(PI()))*SIN((PI()*H109)/$F$13))+$D$3*H109)</f>
        <v> </v>
      </c>
      <c r="J109" s="31" t="str">
        <f t="shared" si="14"/>
        <v> 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 t="str">
        <f t="shared" si="10"/>
        <v> </v>
      </c>
      <c r="I110" s="31" t="str">
        <f>IF(H110=" "," ",($I$26-$D$3*$F$13)*((H110/$F$13)-($C$18/(PI()))*SIN((PI()*H110)/$F$13))+$D$3*H110)</f>
        <v> </v>
      </c>
      <c r="J110" s="31" t="str">
        <f t="shared" si="14"/>
        <v> 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 t="str">
        <f t="shared" si="10"/>
        <v> </v>
      </c>
      <c r="I111" s="31" t="str">
        <f>IF(H111=" "," ",($I$26-$D$3*$F$13)*((H111/$F$13)-($C$18/(PI()))*SIN((PI()*H111)/$F$13))+$D$3*H111)</f>
        <v> </v>
      </c>
      <c r="J111" s="31" t="str">
        <f t="shared" si="14"/>
        <v> 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 t="str">
        <f t="shared" si="10"/>
        <v> </v>
      </c>
      <c r="I112" s="31" t="str">
        <f>IF(H112=" "," ",($I$26-$D$3*$F$13)*((H112/$F$13)-($C$18/(PI()))*SIN((PI()*H112)/$F$13))+$D$3*H112)</f>
        <v> </v>
      </c>
      <c r="J112" s="31" t="str">
        <f t="shared" si="14"/>
        <v> 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 t="str">
        <f t="shared" si="10"/>
        <v> </v>
      </c>
      <c r="I113" s="31" t="str">
        <f>IF(H113=" "," ",($I$26-$D$3*$F$13)*((H113/$F$13)-($C$18/(PI()))*SIN((PI()*H113)/$F$13))+$D$3*H113)</f>
        <v> </v>
      </c>
      <c r="J113" s="31" t="str">
        <f t="shared" si="14"/>
        <v> 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 t="str">
        <f t="shared" si="10"/>
        <v> </v>
      </c>
      <c r="I114" s="31" t="str">
        <f>IF(H114=" "," ",($I$26-$D$3*$F$13)*((H114/$F$13)-($C$18/(PI()))*SIN((PI()*H114)/$F$13))+$D$3*H114)</f>
        <v> </v>
      </c>
      <c r="J114" s="31" t="str">
        <f t="shared" si="14"/>
        <v> 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 t="str">
        <f t="shared" si="10"/>
        <v> </v>
      </c>
      <c r="I115" s="31" t="str">
        <f>IF(H115=" "," ",($I$26-$D$3*$F$13)*((H115/$F$13)-($C$18/(PI()))*SIN((PI()*H115)/$F$13))+$D$3*H115)</f>
        <v> </v>
      </c>
      <c r="J115" s="31" t="str">
        <f t="shared" si="14"/>
        <v> 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 t="str">
        <f t="shared" si="10"/>
        <v> </v>
      </c>
      <c r="I116" s="31" t="str">
        <f>IF(H116=" "," ",($I$26-$D$3*$F$13)*((H116/$F$13)-($C$18/(PI()))*SIN((PI()*H116)/$F$13))+$D$3*H116)</f>
        <v> </v>
      </c>
      <c r="J116" s="31" t="str">
        <f t="shared" si="14"/>
        <v> 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 t="str">
        <f t="shared" si="10"/>
        <v> </v>
      </c>
      <c r="I117" s="31" t="str">
        <f>IF(H117=" "," ",($I$26-$D$3*$F$13)*((H117/$F$13)-($C$18/(PI()))*SIN((PI()*H117)/$F$13))+$D$3*H117)</f>
        <v> </v>
      </c>
      <c r="J117" s="31" t="str">
        <f t="shared" si="14"/>
        <v> 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 t="str">
        <f t="shared" si="10"/>
        <v> </v>
      </c>
      <c r="I118" s="31" t="str">
        <f>IF(H118=" "," ",($I$26-$D$3*$F$13)*((H118/$F$13)-($C$18/(PI()))*SIN((PI()*H118)/$F$13))+$D$3*H118)</f>
        <v> </v>
      </c>
      <c r="J118" s="31" t="str">
        <f t="shared" si="14"/>
        <v> 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 t="str">
        <f t="shared" si="10"/>
        <v> </v>
      </c>
      <c r="I119" s="31" t="str">
        <f>IF(H119=" "," ",($I$26-$D$3*$F$13)*((H119/$F$13)-($C$18/(PI()))*SIN((PI()*H119)/$F$13))+$D$3*H119)</f>
        <v> </v>
      </c>
      <c r="J119" s="31" t="str">
        <f t="shared" si="14"/>
        <v> 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 t="str">
        <f t="shared" si="10"/>
        <v> </v>
      </c>
      <c r="I120" s="31" t="str">
        <f>IF(H120=" "," ",($I$26-$D$3*$F$13)*((H120/$F$13)-($C$18/(PI()))*SIN((PI()*H120)/$F$13))+$D$3*H120)</f>
        <v> </v>
      </c>
      <c r="J120" s="31" t="str">
        <f t="shared" si="14"/>
        <v> 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 t="str">
        <f t="shared" si="10"/>
        <v> </v>
      </c>
      <c r="I121" s="31" t="str">
        <f>IF(H121=" "," ",($I$26-$D$3*$F$13)*((H121/$F$13)-($C$18/(PI()))*SIN((PI()*H121)/$F$13))+$D$3*H121)</f>
        <v> </v>
      </c>
      <c r="J121" s="31" t="str">
        <f t="shared" si="14"/>
        <v> 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 t="str">
        <f t="shared" si="10"/>
        <v> </v>
      </c>
      <c r="I122" s="31" t="str">
        <f>IF(H122=" "," ",($I$26-$D$3*$F$13)*((H122/$F$13)-($C$18/(PI()))*SIN((PI()*H122)/$F$13))+$D$3*H122)</f>
        <v> </v>
      </c>
      <c r="J122" s="31" t="str">
        <f t="shared" si="14"/>
        <v> 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 t="str">
        <f t="shared" si="10"/>
        <v> </v>
      </c>
      <c r="I123" s="31" t="str">
        <f>IF(H123=" "," ",($I$26-$D$3*$F$13)*((H123/$F$13)-($C$18/(PI()))*SIN((PI()*H123)/$F$13))+$D$3*H123)</f>
        <v> </v>
      </c>
      <c r="J123" s="31" t="str">
        <f t="shared" si="14"/>
        <v> 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 t="str">
        <f t="shared" si="10"/>
        <v> </v>
      </c>
      <c r="I124" s="31" t="str">
        <f>IF(H124=" "," ",($I$26-$D$3*$F$13)*((H124/$F$13)-($C$18/(PI()))*SIN((PI()*H124)/$F$13))+$D$3*H124)</f>
        <v> </v>
      </c>
      <c r="J124" s="31" t="str">
        <f t="shared" si="14"/>
        <v> 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 t="str">
        <f t="shared" si="10"/>
        <v> </v>
      </c>
      <c r="I125" s="31" t="str">
        <f>IF(H125=" "," ",($I$26-$D$3*$F$13)*((H125/$F$13)-($C$18/(PI()))*SIN((PI()*H125)/$F$13))+$D$3*H125)</f>
        <v> </v>
      </c>
      <c r="J125" s="31" t="str">
        <f t="shared" si="14"/>
        <v> 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 t="str">
        <f t="shared" si="10"/>
        <v> </v>
      </c>
      <c r="I126" s="31" t="str">
        <f>IF(H126=" "," ",($I$26-$D$3*$F$13)*((H126/$F$13)-($C$18/(PI()))*SIN((PI()*H126)/$F$13))+$D$3*H126)</f>
        <v> </v>
      </c>
      <c r="J126" s="31" t="str">
        <f t="shared" si="14"/>
        <v> 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K19" sqref="K19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0.0057</v>
      </c>
      <c r="C3" s="7" t="s">
        <v>112</v>
      </c>
      <c r="D3" s="8">
        <v>0.0057</v>
      </c>
      <c r="E3" s="7" t="s">
        <v>113</v>
      </c>
      <c r="F3" s="8">
        <f>D3*9</f>
        <v>0.0513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1.5162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398</v>
      </c>
      <c r="C8" s="11" t="s">
        <v>125</v>
      </c>
      <c r="D8" s="12">
        <f>D7/B3</f>
        <v>266</v>
      </c>
      <c r="E8" s="7" t="s">
        <v>126</v>
      </c>
      <c r="F8" s="34">
        <v>66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66</v>
      </c>
      <c r="C9" s="13"/>
      <c r="D9" s="14"/>
      <c r="E9" s="7" t="s">
        <v>130</v>
      </c>
      <c r="F9" s="34">
        <v>66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2.9982</v>
      </c>
      <c r="E11" s="7"/>
      <c r="J11" s="41" t="s">
        <v>134</v>
      </c>
      <c r="K11" s="42">
        <f>(B3*K9)/K3</f>
        <v>1.81598176275647</v>
      </c>
    </row>
    <row r="12" ht="15.15" spans="1:11">
      <c r="A12" s="11" t="s">
        <v>135</v>
      </c>
      <c r="B12" s="12">
        <f>D12+F13+F12</f>
        <v>674</v>
      </c>
      <c r="C12" s="15" t="s">
        <v>136</v>
      </c>
      <c r="D12" s="12">
        <f>D11/D3</f>
        <v>526</v>
      </c>
      <c r="E12" s="7" t="s">
        <v>137</v>
      </c>
      <c r="F12" s="34">
        <v>66</v>
      </c>
      <c r="G12" t="s">
        <v>127</v>
      </c>
      <c r="J12" s="43" t="s">
        <v>138</v>
      </c>
      <c r="K12" s="29">
        <f>(1-EXP(-1*K11/25))</f>
        <v>0.0700637750513464</v>
      </c>
    </row>
    <row r="13" ht="15.15" spans="1:7">
      <c r="A13" s="11" t="s">
        <v>139</v>
      </c>
      <c r="B13" s="12">
        <f>F12</f>
        <v>66</v>
      </c>
      <c r="C13" s="13"/>
      <c r="D13" s="14"/>
      <c r="E13" s="7" t="s">
        <v>140</v>
      </c>
      <c r="F13" s="34">
        <v>82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0.00057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60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1.195</v>
      </c>
      <c r="G20" s="35" t="s">
        <v>147</v>
      </c>
      <c r="H20" s="36">
        <f>(B8*B12*B16)/1000000</f>
        <v>16.09512</v>
      </c>
      <c r="I20">
        <v>0.54</v>
      </c>
    </row>
    <row r="21" spans="1:8">
      <c r="A21" s="24" t="s">
        <v>148</v>
      </c>
      <c r="B21" s="25"/>
      <c r="C21" s="26">
        <f>ROUND(MAX(C29:C529),3)</f>
        <v>1.195</v>
      </c>
      <c r="G21" s="35"/>
      <c r="H21" s="36"/>
    </row>
    <row r="22" spans="1:7">
      <c r="A22" s="24" t="s">
        <v>149</v>
      </c>
      <c r="B22" s="25"/>
      <c r="C22" s="26">
        <f>ROUND(MAX(M28:M528),3)</f>
        <v>1.197</v>
      </c>
      <c r="G22" s="37"/>
    </row>
    <row r="23" ht="15.15" spans="1:6">
      <c r="A23" s="27" t="s">
        <v>150</v>
      </c>
      <c r="B23" s="28"/>
      <c r="C23" s="29">
        <f>ROUND(MAX(J28:J528),3)</f>
        <v>1.197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11.2419</v>
      </c>
      <c r="D26" s="7" t="s">
        <v>155</v>
      </c>
      <c r="E26" s="9">
        <f>B4-D7*0.5</f>
        <v>11.2419</v>
      </c>
      <c r="H26" s="7" t="s">
        <v>155</v>
      </c>
      <c r="I26" s="9">
        <f>B11-(D4+D11*0.5)</f>
        <v>21.6009</v>
      </c>
      <c r="K26" s="7" t="s">
        <v>155</v>
      </c>
      <c r="L26" s="9">
        <f>D4-D11*0.5</f>
        <v>11.4009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0.00576216203137308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0.00576216203137308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0.00576304439664306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0.00576307166103231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0.0118971272651211</v>
      </c>
      <c r="C30" s="31">
        <f t="shared" ref="C30:C93" si="4">IF(A30=" "," ",(B30-B29)/(B29-B28))</f>
        <v>1.0646984934379</v>
      </c>
      <c r="D30" s="31">
        <f t="shared" si="1"/>
        <v>2</v>
      </c>
      <c r="E30" s="31">
        <f>IF(D30=" "," ",($E$26-$B$3*($F$8))*((D30/($F$8))-($C$18/(PI()))*SIN((PI()*D30)/($F$8)))+$B$3*D30)</f>
        <v>0.0118971272651211</v>
      </c>
      <c r="F30" s="31">
        <f t="shared" ref="F30:F93" si="5">IF(D30=" "," ",(E30-E29)/(E29-E28))</f>
        <v>1.0646984934379</v>
      </c>
      <c r="G30" s="31"/>
      <c r="H30" s="31">
        <f t="shared" si="2"/>
        <v>2</v>
      </c>
      <c r="I30" s="31">
        <f>IF(H30=" "," ",($I$26-$D$3*$F$13)*((H30/$F$13)-($C$18/(PI()))*SIN((PI()*H30)/$F$13))+$D$3*H30)</f>
        <v>0.0119042441392015</v>
      </c>
      <c r="J30" s="31">
        <f t="shared" ref="J30:J93" si="6">IF(H30=" "," ",(I30-I29)/(I29-I28))</f>
        <v>1.06561728834428</v>
      </c>
      <c r="K30" s="31">
        <f t="shared" si="3"/>
        <v>2</v>
      </c>
      <c r="L30" s="31">
        <f>IF(K30=" "," ",($L$26-$D$3*$F$12)*((K30/$F$12)-($C$18/(PI()))*SIN((PI()*K30)/$F$12))+$D$3*K30)</f>
        <v>0.0119044018295904</v>
      </c>
      <c r="M30" s="31">
        <f t="shared" ref="M30:M93" si="7">IF(K30=" "," ",(L30-L29)/(L29-L28))</f>
        <v>1.06563487837283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0.0187768543844593</v>
      </c>
      <c r="C31" s="31">
        <f t="shared" si="4"/>
        <v>1.12139626831026</v>
      </c>
      <c r="D31" s="31">
        <f t="shared" si="1"/>
        <v>3</v>
      </c>
      <c r="E31" s="31">
        <f>IF(D31=" "," ",($E$26-$B$3*($F$8))*((D31/($F$8))-($C$18/(PI()))*SIN((PI()*D31)/($F$8)))+$B$3*D31)</f>
        <v>0.0187768543844593</v>
      </c>
      <c r="F31" s="31">
        <f t="shared" si="5"/>
        <v>1.12139626831026</v>
      </c>
      <c r="G31" s="31"/>
      <c r="H31" s="31">
        <f t="shared" si="2"/>
        <v>3</v>
      </c>
      <c r="I31" s="31">
        <f>IF(H31=" "," ",($I$26-$D$3*$F$13)*((H31/$F$13)-($C$18/(PI()))*SIN((PI()*H31)/$F$13))+$D$3*H31)</f>
        <v>0.0188011995784735</v>
      </c>
      <c r="J31" s="31">
        <f t="shared" si="6"/>
        <v>1.12306320074172</v>
      </c>
      <c r="K31" s="31">
        <f t="shared" si="3"/>
        <v>3</v>
      </c>
      <c r="L31" s="31">
        <f>IF(K31=" "," ",($L$26-$D$3*$F$12)*((K31/$F$12)-($C$18/(PI()))*SIN((PI()*K31)/$F$12))+$D$3*K31)</f>
        <v>0.0188013921360196</v>
      </c>
      <c r="M31" s="31">
        <f t="shared" si="7"/>
        <v>1.12304502723855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0.0267716149473917</v>
      </c>
      <c r="C32" s="31">
        <f t="shared" si="4"/>
        <v>1.16207524284792</v>
      </c>
      <c r="D32" s="31">
        <f t="shared" si="1"/>
        <v>4</v>
      </c>
      <c r="E32" s="31">
        <f>IF(D32=" "," ",($E$26-$B$3*($F$8))*((D32/($F$8))-($C$18/(PI()))*SIN((PI()*D32)/($F$8)))+$B$3*D32)</f>
        <v>0.0267716149473917</v>
      </c>
      <c r="F32" s="31">
        <f t="shared" si="5"/>
        <v>1.16207524284792</v>
      </c>
      <c r="G32" s="31"/>
      <c r="H32" s="31">
        <f t="shared" si="2"/>
        <v>4</v>
      </c>
      <c r="I32" s="31">
        <f>IF(H32=" "," ",($I$26-$D$3*$F$13)*((H32/$F$13)-($C$18/(PI()))*SIN((PI()*H32)/$F$13))+$D$3*H32)</f>
        <v>0.0268304018895548</v>
      </c>
      <c r="J32" s="31">
        <f t="shared" si="6"/>
        <v>1.16416618633814</v>
      </c>
      <c r="K32" s="31">
        <f t="shared" si="3"/>
        <v>4</v>
      </c>
      <c r="L32" s="31">
        <f>IF(K32=" "," ",($L$26-$D$3*$F$12)*((K32/$F$12)-($C$18/(PI()))*SIN((PI()*K32)/$F$12))+$D$3*K32)</f>
        <v>0.0268297323974074</v>
      </c>
      <c r="M32" s="31">
        <f t="shared" si="7"/>
        <v>1.16403531173647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0.0362491546025395</v>
      </c>
      <c r="C33" s="31">
        <f t="shared" si="4"/>
        <v>1.18546885557652</v>
      </c>
      <c r="D33" s="31">
        <f t="shared" si="1"/>
        <v>5</v>
      </c>
      <c r="E33" s="31">
        <f>IF(D33=" "," ",($E$26-$B$3*($F$8))*((D33/($F$8))-($C$18/(PI()))*SIN((PI()*D33)/($F$8)))+$B$3*D33)</f>
        <v>0.0362491546025395</v>
      </c>
      <c r="F33" s="31">
        <f t="shared" si="5"/>
        <v>1.18546885557652</v>
      </c>
      <c r="G33" s="31"/>
      <c r="H33" s="31">
        <f t="shared" si="2"/>
        <v>5</v>
      </c>
      <c r="I33" s="31">
        <f>IF(H33=" "," ",($I$26-$D$3*$F$13)*((H33/$F$13)-($C$18/(PI()))*SIN((PI()*H33)/$F$13))+$D$3*H33)</f>
        <v>0.036366680519122</v>
      </c>
      <c r="J33" s="31">
        <f t="shared" si="6"/>
        <v>1.1876993828398</v>
      </c>
      <c r="K33" s="31">
        <f t="shared" si="3"/>
        <v>5</v>
      </c>
      <c r="L33" s="31">
        <f>IF(K33=" "," ",($L$26-$D$3*$F$12)*((K33/$F$12)-($C$18/(PI()))*SIN((PI()*K33)/$F$12))+$D$3*K33)</f>
        <v>0.036362549559312</v>
      </c>
      <c r="M33" s="31">
        <f t="shared" si="7"/>
        <v>1.18739575697267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0.0475738600269679</v>
      </c>
      <c r="C34" s="31">
        <f t="shared" si="4"/>
        <v>1.1948992920623</v>
      </c>
      <c r="D34" s="31">
        <f t="shared" si="1"/>
        <v>6</v>
      </c>
      <c r="E34" s="31">
        <f>IF(D34=" "," ",($E$26-$B$3*($F$8))*((D34/($F$8))-($C$18/(PI()))*SIN((PI()*D34)/($F$8)))+$B$3*D34)</f>
        <v>0.0475738600269679</v>
      </c>
      <c r="F34" s="31">
        <f t="shared" si="5"/>
        <v>1.1948992920623</v>
      </c>
      <c r="G34" s="31"/>
      <c r="H34" s="31">
        <f t="shared" si="2"/>
        <v>6</v>
      </c>
      <c r="I34" s="31">
        <f>IF(H34=" "," ",($I$26-$D$3*$F$13)*((H34/$F$13)-($C$18/(PI()))*SIN((PI()*H34)/$F$13))+$D$3*H34)</f>
        <v>0.0477826530715302</v>
      </c>
      <c r="J34" s="31">
        <f t="shared" si="6"/>
        <v>1.19710979469635</v>
      </c>
      <c r="K34" s="31">
        <f t="shared" si="3"/>
        <v>6</v>
      </c>
      <c r="L34" s="31">
        <f>IF(K34=" "," ",($L$26-$D$3*$F$12)*((K34/$F$12)-($C$18/(PI()))*SIN((PI()*K34)/$F$12))+$D$3*K34)</f>
        <v>0.0477695624432216</v>
      </c>
      <c r="M34" s="31">
        <f t="shared" si="7"/>
        <v>1.19660460178494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0.061105933473164</v>
      </c>
      <c r="C35" s="31">
        <f t="shared" si="4"/>
        <v>1.19491615358101</v>
      </c>
      <c r="D35" s="31">
        <f t="shared" si="1"/>
        <v>7</v>
      </c>
      <c r="E35" s="31">
        <f>IF(D35=" "," ",($E$26-$B$3*($F$8))*((D35/($F$8))-($C$18/(PI()))*SIN((PI()*D35)/($F$8)))+$B$3*D35)</f>
        <v>0.061105933473164</v>
      </c>
      <c r="F35" s="31">
        <f t="shared" si="5"/>
        <v>1.19491615358101</v>
      </c>
      <c r="G35" s="31"/>
      <c r="H35" s="31">
        <f t="shared" si="2"/>
        <v>7</v>
      </c>
      <c r="I35" s="31">
        <f>IF(H35=" "," ",($I$26-$D$3*$F$13)*((H35/$F$13)-($C$18/(PI()))*SIN((PI()*H35)/$F$13))+$D$3*H35)</f>
        <v>0.0614481784410972</v>
      </c>
      <c r="J35" s="31">
        <f t="shared" si="6"/>
        <v>1.19705310317027</v>
      </c>
      <c r="K35" s="31">
        <f t="shared" si="3"/>
        <v>7</v>
      </c>
      <c r="L35" s="31">
        <f>IF(K35=" "," ",($L$26-$D$3*$F$12)*((K35/$F$12)-($C$18/(PI()))*SIN((PI()*K35)/$F$12))+$D$3*K35)</f>
        <v>0.0614162442145091</v>
      </c>
      <c r="M35" s="31">
        <f t="shared" si="7"/>
        <v>1.19634140069545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0.07720057679508</v>
      </c>
      <c r="C36" s="31">
        <f t="shared" si="4"/>
        <v>1.1893700832994</v>
      </c>
      <c r="D36" s="31">
        <f t="shared" si="1"/>
        <v>8</v>
      </c>
      <c r="E36" s="31">
        <f>IF(D36=" "," ",($E$26-$B$3*($F$8))*((D36/($F$8))-($C$18/(PI()))*SIN((PI()*D36)/($F$8)))+$B$3*D36)</f>
        <v>0.07720057679508</v>
      </c>
      <c r="F36" s="31">
        <f t="shared" si="5"/>
        <v>1.1893700832994</v>
      </c>
      <c r="G36" s="31"/>
      <c r="H36" s="31">
        <f t="shared" si="2"/>
        <v>8</v>
      </c>
      <c r="I36" s="31">
        <f>IF(H36=" "," ",($I$26-$D$3*$F$13)*((H36/$F$13)-($C$18/(PI()))*SIN((PI()*H36)/$F$13))+$D$3*H36)</f>
        <v>0.0777298139931704</v>
      </c>
      <c r="J36" s="31">
        <f t="shared" si="6"/>
        <v>1.19143868323806</v>
      </c>
      <c r="K36" s="31">
        <f t="shared" si="3"/>
        <v>8</v>
      </c>
      <c r="L36" s="31">
        <f>IF(K36=" "," ",($L$26-$D$3*$F$12)*((K36/$F$12)-($C$18/(PI()))*SIN((PI()*K36)/$F$12))+$D$3*K36)</f>
        <v>0.077662994468163</v>
      </c>
      <c r="M36" s="31">
        <f t="shared" si="7"/>
        <v>1.19052752353593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0.0962071868016912</v>
      </c>
      <c r="C37" s="31">
        <f t="shared" si="4"/>
        <v>1.18092769292564</v>
      </c>
      <c r="D37" s="31">
        <f t="shared" si="1"/>
        <v>9</v>
      </c>
      <c r="E37" s="31">
        <f>IF(D37=" "," ",($E$26-$B$3*($F$8))*((D37/($F$8))-($C$18/(PI()))*SIN((PI()*D37)/($F$8)))+$B$3*D37)</f>
        <v>0.0962071868016912</v>
      </c>
      <c r="F37" s="31">
        <f t="shared" si="5"/>
        <v>1.18092769292564</v>
      </c>
      <c r="G37" s="31"/>
      <c r="H37" s="31">
        <f t="shared" si="2"/>
        <v>9</v>
      </c>
      <c r="I37" s="31">
        <f>IF(H37=" "," ",($I$26-$D$3*$F$13)*((H37/$F$13)-($C$18/(PI()))*SIN((PI()*H37)/$F$13))+$D$3*H37)</f>
        <v>0.0969902775906488</v>
      </c>
      <c r="J37" s="31">
        <f t="shared" si="6"/>
        <v>1.18295631516122</v>
      </c>
      <c r="K37" s="31">
        <f t="shared" si="3"/>
        <v>9</v>
      </c>
      <c r="L37" s="31">
        <f>IF(K37=" "," ",($L$26-$D$3*$F$12)*((K37/$F$12)-($C$18/(PI()))*SIN((PI()*K37)/$F$12))+$D$3*K37)</f>
        <v>0.0968643228077901</v>
      </c>
      <c r="M37" s="31">
        <f t="shared" si="7"/>
        <v>1.18185655837904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0.118468563760844</v>
      </c>
      <c r="C38" s="31">
        <f t="shared" si="4"/>
        <v>1.17124394888985</v>
      </c>
      <c r="D38" s="31">
        <f t="shared" si="1"/>
        <v>10</v>
      </c>
      <c r="E38" s="31">
        <f>IF(D38=" "," ",($E$26-$B$3*($F$8))*((D38/($F$8))-($C$18/(PI()))*SIN((PI()*D38)/($F$8)))+$B$3*D38)</f>
        <v>0.118468563760844</v>
      </c>
      <c r="F38" s="31">
        <f t="shared" si="5"/>
        <v>1.17124394888985</v>
      </c>
      <c r="G38" s="31"/>
      <c r="H38" s="31">
        <f t="shared" si="2"/>
        <v>10</v>
      </c>
      <c r="I38" s="31">
        <f>IF(H38=" "," ",($I$26-$D$3*$F$13)*((H38/$F$13)-($C$18/(PI()))*SIN((PI()*H38)/$F$13))+$D$3*H38)</f>
        <v>0.119587915255498</v>
      </c>
      <c r="J38" s="31">
        <f t="shared" si="6"/>
        <v>1.17326551100296</v>
      </c>
      <c r="K38" s="31">
        <f t="shared" si="3"/>
        <v>10</v>
      </c>
      <c r="L38" s="31">
        <f>IF(K38=" "," ",($L$26-$D$3*$F$12)*((K38/$F$12)-($C$18/(PI()))*SIN((PI()*K38)/$F$12))+$D$3*K38)</f>
        <v>0.119368045767339</v>
      </c>
      <c r="M38" s="31">
        <f t="shared" si="7"/>
        <v>1.17198782092103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0.144320134846393</v>
      </c>
      <c r="C39" s="31">
        <f t="shared" si="4"/>
        <v>1.1612745758263</v>
      </c>
      <c r="D39" s="31">
        <f t="shared" si="1"/>
        <v>11</v>
      </c>
      <c r="E39" s="31">
        <f>IF(D39=" "," ",($E$26-$B$3*($F$8))*((D39/($F$8))-($C$18/(PI()))*SIN((PI()*D39)/($F$8)))+$B$3*D39)</f>
        <v>0.144320134846393</v>
      </c>
      <c r="F39" s="31">
        <f t="shared" si="5"/>
        <v>1.1612745758263</v>
      </c>
      <c r="G39" s="31"/>
      <c r="H39" s="31">
        <f t="shared" si="2"/>
        <v>11</v>
      </c>
      <c r="I39" s="31">
        <f>IF(H39=" "," ",($I$26-$D$3*$F$13)*((H39/$F$13)-($C$18/(PI()))*SIN((PI()*H39)/$F$13))+$D$3*H39)</f>
        <v>0.145876175246549</v>
      </c>
      <c r="J39" s="31">
        <f t="shared" si="6"/>
        <v>1.16331894426037</v>
      </c>
      <c r="K39" s="31">
        <f t="shared" si="3"/>
        <v>11</v>
      </c>
      <c r="L39" s="31">
        <f>IF(K39=" "," ",($L$26-$D$3*$F$12)*((K39/$F$12)-($C$18/(PI()))*SIN((PI()*K39)/$F$12))+$D$3*K39)</f>
        <v>0.145514498894782</v>
      </c>
      <c r="M39" s="31">
        <f t="shared" si="7"/>
        <v>1.16187233438849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0.174089194287769</v>
      </c>
      <c r="C40" s="31">
        <f t="shared" si="4"/>
        <v>1.15153772832077</v>
      </c>
      <c r="D40" s="31">
        <f t="shared" si="1"/>
        <v>12</v>
      </c>
      <c r="E40" s="31">
        <f>IF(D40=" "," ",($E$26-$B$3*($F$8))*((D40/($F$8))-($C$18/(PI()))*SIN((PI()*D40)/($F$8)))+$B$3*D40)</f>
        <v>0.174089194287769</v>
      </c>
      <c r="F40" s="31">
        <f t="shared" si="5"/>
        <v>1.15153772832077</v>
      </c>
      <c r="G40" s="31"/>
      <c r="H40" s="31">
        <f t="shared" si="2"/>
        <v>12</v>
      </c>
      <c r="I40" s="31">
        <f>IF(H40=" "," ",($I$26-$D$3*$F$13)*((H40/$F$13)-($C$18/(PI()))*SIN((PI()*H40)/$F$13))+$D$3*H40)</f>
        <v>0.176203089325438</v>
      </c>
      <c r="J40" s="31">
        <f t="shared" si="6"/>
        <v>1.1536295703562</v>
      </c>
      <c r="K40" s="31">
        <f t="shared" si="3"/>
        <v>12</v>
      </c>
      <c r="L40" s="31">
        <f>IF(K40=" "," ",($L$26-$D$3*$F$12)*((K40/$F$12)-($C$18/(PI()))*SIN((PI()*K40)/$F$12))+$D$3*K40)</f>
        <v>0.175635765782634</v>
      </c>
      <c r="M40" s="31">
        <f t="shared" si="7"/>
        <v>1.15202114569941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0.20809416194328</v>
      </c>
      <c r="C41" s="31">
        <f t="shared" si="4"/>
        <v>1.14229230931787</v>
      </c>
      <c r="D41" s="31">
        <f t="shared" si="1"/>
        <v>13</v>
      </c>
      <c r="E41" s="31">
        <f>IF(D41=" "," ",($E$26-$B$3*($F$8))*((D41/($F$8))-($C$18/(PI()))*SIN((PI()*D41)/($F$8)))+$B$3*D41)</f>
        <v>0.20809416194328</v>
      </c>
      <c r="F41" s="31">
        <f t="shared" si="5"/>
        <v>1.14229230931787</v>
      </c>
      <c r="G41" s="31"/>
      <c r="H41" s="31">
        <f t="shared" si="2"/>
        <v>13</v>
      </c>
      <c r="I41" s="31">
        <f>IF(H41=" "," ",($I$26-$D$3*$F$13)*((H41/$F$13)-($C$18/(PI()))*SIN((PI()*H41)/$F$13))+$D$3*H41)</f>
        <v>0.210910761972004</v>
      </c>
      <c r="J41" s="31">
        <f t="shared" si="6"/>
        <v>1.14445118142526</v>
      </c>
      <c r="K41" s="31">
        <f t="shared" si="3"/>
        <v>13</v>
      </c>
      <c r="L41" s="31">
        <f>IF(K41=" "," ",($L$26-$D$3*$F$12)*((K41/$F$12)-($C$18/(PI()))*SIN((PI()*K41)/$F$12))+$D$3*K41)</f>
        <v>0.210054925791811</v>
      </c>
      <c r="M41" s="31">
        <f t="shared" si="7"/>
        <v>1.14268633312555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0.246643861976715</v>
      </c>
      <c r="C42" s="31">
        <f t="shared" si="4"/>
        <v>1.1336490722169</v>
      </c>
      <c r="D42" s="31">
        <f t="shared" si="1"/>
        <v>14</v>
      </c>
      <c r="E42" s="31">
        <f>IF(D42=" "," ",($E$26-$B$3*($F$8))*((D42/($F$8))-($C$18/(PI()))*SIN((PI()*D42)/($F$8)))+$B$3*D42)</f>
        <v>0.246643861976715</v>
      </c>
      <c r="F42" s="31">
        <f t="shared" si="5"/>
        <v>1.1336490722169</v>
      </c>
      <c r="G42" s="31"/>
      <c r="H42" s="31">
        <f t="shared" si="2"/>
        <v>14</v>
      </c>
      <c r="I42" s="31">
        <f>IF(H42=" "," ",($I$26-$D$3*$F$13)*((H42/$F$13)-($C$18/(PI()))*SIN((PI()*H42)/$F$13))+$D$3*H42)</f>
        <v>0.250334868298789</v>
      </c>
      <c r="J42" s="31">
        <f t="shared" si="6"/>
        <v>1.1358902317723</v>
      </c>
      <c r="K42" s="31">
        <f t="shared" si="3"/>
        <v>14</v>
      </c>
      <c r="L42" s="31">
        <f>IF(K42=" "," ",($L$26-$D$3*$F$12)*((K42/$F$12)-($C$18/(PI()))*SIN((PI()*K42)/$F$12))+$D$3*K42)</f>
        <v>0.249085322172956</v>
      </c>
      <c r="M42" s="31">
        <f t="shared" si="7"/>
        <v>1.13397294909986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0.290036823271289</v>
      </c>
      <c r="C43" s="31">
        <f t="shared" si="4"/>
        <v>1.1256368079891</v>
      </c>
      <c r="D43" s="31">
        <f t="shared" si="1"/>
        <v>15</v>
      </c>
      <c r="E43" s="31">
        <f>IF(D43=" "," ",($E$26-$B$3*($F$8))*((D43/($F$8))-($C$18/(PI()))*SIN((PI()*D43)/($F$8)))+$B$3*D43)</f>
        <v>0.290036823271289</v>
      </c>
      <c r="F43" s="31">
        <f t="shared" si="5"/>
        <v>1.1256368079891</v>
      </c>
      <c r="G43" s="31"/>
      <c r="H43" s="31">
        <f t="shared" si="2"/>
        <v>15</v>
      </c>
      <c r="I43" s="31">
        <f>IF(H43=" "," ",($I$26-$D$3*$F$13)*((H43/$F$13)-($C$18/(PI()))*SIN((PI()*H43)/$F$13))+$D$3*H43)</f>
        <v>0.294804161401518</v>
      </c>
      <c r="J43" s="31">
        <f t="shared" si="6"/>
        <v>1.12797212786828</v>
      </c>
      <c r="K43" s="31">
        <f t="shared" si="3"/>
        <v>15</v>
      </c>
      <c r="L43" s="31">
        <f>IF(K43=" "," ",($L$26-$D$3*$F$12)*((K43/$F$12)-($C$18/(PI()))*SIN((PI()*K43)/$F$12))+$D$3*K43)</f>
        <v>0.293029852243203</v>
      </c>
      <c r="M43" s="31">
        <f t="shared" si="7"/>
        <v>1.12590529804292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0.3385606031657</v>
      </c>
      <c r="C44" s="31">
        <f t="shared" si="4"/>
        <v>1.11824080327239</v>
      </c>
      <c r="D44" s="31">
        <f t="shared" si="1"/>
        <v>16</v>
      </c>
      <c r="E44" s="31">
        <f>IF(D44=" "," ",($E$26-$B$3*($F$8))*((D44/($F$8))-($C$18/(PI()))*SIN((PI()*D44)/($F$8)))+$B$3*D44)</f>
        <v>0.3385606031657</v>
      </c>
      <c r="F44" s="31">
        <f t="shared" si="5"/>
        <v>1.11824080327239</v>
      </c>
      <c r="G44" s="31"/>
      <c r="H44" s="31">
        <f t="shared" si="2"/>
        <v>16</v>
      </c>
      <c r="I44" s="31">
        <f>IF(H44=" "," ",($I$26-$D$3*$F$13)*((H44/$F$13)-($C$18/(PI()))*SIN((PI()*H44)/$F$13))+$D$3*H44)</f>
        <v>0.344639989868604</v>
      </c>
      <c r="J44" s="31">
        <f t="shared" si="6"/>
        <v>1.12067957437414</v>
      </c>
      <c r="K44" s="31">
        <f t="shared" si="3"/>
        <v>16</v>
      </c>
      <c r="L44" s="31">
        <f>IF(K44=" "," ",($L$26-$D$3*$F$12)*((K44/$F$12)-($C$18/(PI()))*SIN((PI()*K44)/$F$12))+$D$3*K44)</f>
        <v>0.342180281226327</v>
      </c>
      <c r="M44" s="31">
        <f t="shared" si="7"/>
        <v>1.11846523115742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0.392491136044276</v>
      </c>
      <c r="C45" s="31">
        <f t="shared" si="4"/>
        <v>1.11142481059655</v>
      </c>
      <c r="D45" s="31">
        <f t="shared" si="1"/>
        <v>17</v>
      </c>
      <c r="E45" s="31">
        <f>IF(D45=" "," ",($E$26-$B$3*($F$8))*((D45/($F$8))-($C$18/(PI()))*SIN((PI()*D45)/($F$8)))+$B$3*D45)</f>
        <v>0.392491136044276</v>
      </c>
      <c r="F45" s="31">
        <f t="shared" si="5"/>
        <v>1.11142481059655</v>
      </c>
      <c r="G45" s="31"/>
      <c r="H45" s="31">
        <f t="shared" si="2"/>
        <v>17</v>
      </c>
      <c r="I45" s="31">
        <f>IF(H45=" "," ",($I$26-$D$3*$F$13)*((H45/$F$13)-($C$18/(PI()))*SIN((PI()*H45)/$F$13))+$D$3*H45)</f>
        <v>0.400155826157771</v>
      </c>
      <c r="J45" s="31">
        <f t="shared" si="6"/>
        <v>1.11397438342643</v>
      </c>
      <c r="K45" s="31">
        <f t="shared" si="3"/>
        <v>17</v>
      </c>
      <c r="L45" s="31">
        <f>IF(K45=" "," ",($L$26-$D$3*$F$12)*((K45/$F$12)-($C$18/(PI()))*SIN((PI()*K45)/$F$12))+$D$3*K45)</f>
        <v>0.396816581310668</v>
      </c>
      <c r="M45" s="31">
        <f t="shared" si="7"/>
        <v>1.11161390072713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0.452092108256836</v>
      </c>
      <c r="C46" s="31">
        <f t="shared" si="4"/>
        <v>1.10514339524054</v>
      </c>
      <c r="D46" s="31">
        <f t="shared" si="1"/>
        <v>18</v>
      </c>
      <c r="E46" s="31">
        <f>IF(D46=" "," ",($E$26-$B$3*($F$8))*((D46/($F$8))-($C$18/(PI()))*SIN((PI()*D46)/($F$8)))+$B$3*D46)</f>
        <v>0.452092108256836</v>
      </c>
      <c r="F46" s="31">
        <f t="shared" si="5"/>
        <v>1.10514339524054</v>
      </c>
      <c r="G46" s="31"/>
      <c r="H46" s="31">
        <f t="shared" si="2"/>
        <v>18</v>
      </c>
      <c r="I46" s="31">
        <f>IF(H46=" "," ",($I$26-$D$3*$F$13)*((H46/$F$13)-($C$18/(PI()))*SIN((PI()*H46)/$F$13))+$D$3*H46)</f>
        <v>0.461656806532004</v>
      </c>
      <c r="J46" s="31">
        <f t="shared" si="6"/>
        <v>1.10780967171047</v>
      </c>
      <c r="K46" s="31">
        <f t="shared" si="3"/>
        <v>18</v>
      </c>
      <c r="L46" s="31">
        <f>IF(K46=" "," ",($L$26-$D$3*$F$12)*((K46/$F$12)-($C$18/(PI()))*SIN((PI()*K46)/$F$12))+$D$3*K46)</f>
        <v>0.457206297422084</v>
      </c>
      <c r="M46" s="31">
        <f t="shared" si="7"/>
        <v>1.10530391000477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0.517614360784306</v>
      </c>
      <c r="C47" s="31">
        <f t="shared" si="4"/>
        <v>1.09934872024891</v>
      </c>
      <c r="D47" s="31">
        <f t="shared" si="1"/>
        <v>19</v>
      </c>
      <c r="E47" s="31">
        <f>IF(D47=" "," ",($E$26-$B$3*($F$8))*((D47/($F$8))-($C$18/(PI()))*SIN((PI()*D47)/($F$8)))+$B$3*D47)</f>
        <v>0.517614360784306</v>
      </c>
      <c r="F47" s="31">
        <f t="shared" si="5"/>
        <v>1.09934872024891</v>
      </c>
      <c r="G47" s="31"/>
      <c r="H47" s="31">
        <f t="shared" si="2"/>
        <v>19</v>
      </c>
      <c r="I47" s="31">
        <f>IF(H47=" "," ",($I$26-$D$3*$F$13)*((H47/$F$13)-($C$18/(PI()))*SIN((PI()*H47)/$F$13))+$D$3*H47)</f>
        <v>0.52943928323</v>
      </c>
      <c r="J47" s="31">
        <f t="shared" si="6"/>
        <v>1.10213652344302</v>
      </c>
      <c r="K47" s="31">
        <f t="shared" si="3"/>
        <v>19</v>
      </c>
      <c r="L47" s="31">
        <f>IF(K47=" "," ",($L$26-$D$3*$F$12)*((K47/$F$12)-($C$18/(PI()))*SIN((PI()*K47)/$F$12))+$D$3*K47)</f>
        <v>0.523603941148636</v>
      </c>
      <c r="M47" s="31">
        <f t="shared" si="7"/>
        <v>1.0994859390306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0.589295321003207</v>
      </c>
      <c r="C48" s="31">
        <f t="shared" si="4"/>
        <v>1.09399413869128</v>
      </c>
      <c r="D48" s="31">
        <f t="shared" si="1"/>
        <v>20</v>
      </c>
      <c r="E48" s="31">
        <f>IF(D48=" "," ",($E$26-$B$3*($F$8))*((D48/($F$8))-($C$18/(PI()))*SIN((PI()*D48)/($F$8)))+$B$3*D48)</f>
        <v>0.589295321003207</v>
      </c>
      <c r="F48" s="31">
        <f t="shared" si="5"/>
        <v>1.09399413869128</v>
      </c>
      <c r="G48" s="31"/>
      <c r="H48" s="31">
        <f t="shared" si="2"/>
        <v>20</v>
      </c>
      <c r="I48" s="31">
        <f>IF(H48=" "," ",($I$26-$D$3*$F$13)*((H48/$F$13)-($C$18/(PI()))*SIN((PI()*H48)/$F$13))+$D$3*H48)</f>
        <v>0.603790389528392</v>
      </c>
      <c r="J48" s="31">
        <f t="shared" si="6"/>
        <v>1.0969074887845</v>
      </c>
      <c r="K48" s="31">
        <f t="shared" si="3"/>
        <v>20</v>
      </c>
      <c r="L48" s="31">
        <f>IF(K48=" "," ",($L$26-$D$3*$F$12)*((K48/$F$12)-($C$18/(PI()))*SIN((PI()*K48)/$F$12))+$D$3*K48)</f>
        <v>0.596250414189979</v>
      </c>
      <c r="M48" s="31">
        <f t="shared" si="7"/>
        <v>1.09411221489314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0.667358464836297</v>
      </c>
      <c r="C49" s="31">
        <f t="shared" si="4"/>
        <v>1.08903596707826</v>
      </c>
      <c r="D49" s="31">
        <f t="shared" si="1"/>
        <v>21</v>
      </c>
      <c r="E49" s="31">
        <f>IF(D49=" "," ",($E$26-$B$3*($F$8))*((D49/($F$8))-($C$18/(PI()))*SIN((PI()*D49)/($F$8)))+$B$3*D49)</f>
        <v>0.667358464836297</v>
      </c>
      <c r="F49" s="31">
        <f t="shared" si="5"/>
        <v>1.08903596707826</v>
      </c>
      <c r="G49" s="31"/>
      <c r="H49" s="31">
        <f t="shared" si="2"/>
        <v>21</v>
      </c>
      <c r="I49" s="31">
        <f>IF(H49=" "," ",($I$26-$D$3*$F$13)*((H49/$F$13)-($C$18/(PI()))*SIN((PI()*H49)/$F$13))+$D$3*H49)</f>
        <v>0.684987618334072</v>
      </c>
      <c r="J49" s="31">
        <f t="shared" si="6"/>
        <v>1.09207828703735</v>
      </c>
      <c r="K49" s="31">
        <f t="shared" si="3"/>
        <v>21</v>
      </c>
      <c r="L49" s="31">
        <f>IF(K49=" "," ",($L$26-$D$3*$F$12)*((K49/$F$12)-($C$18/(PI()))*SIN((PI()*K49)/$F$12))+$D$3*K49)</f>
        <v>0.67537246263754</v>
      </c>
      <c r="M49" s="31">
        <f t="shared" si="7"/>
        <v>1.08913819398407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0.752012810507717</v>
      </c>
      <c r="C50" s="31">
        <f t="shared" si="4"/>
        <v>1.0844342350908</v>
      </c>
      <c r="D50" s="31">
        <f t="shared" si="1"/>
        <v>22</v>
      </c>
      <c r="E50" s="31">
        <f>IF(D50=" "," ",($E$26-$B$3*($F$8))*((D50/($F$8))-($C$18/(PI()))*SIN((PI()*D50)/($F$8)))+$B$3*D50)</f>
        <v>0.752012810507717</v>
      </c>
      <c r="F50" s="31">
        <f t="shared" si="5"/>
        <v>1.0844342350908</v>
      </c>
      <c r="G50" s="31"/>
      <c r="H50" s="31">
        <f t="shared" si="2"/>
        <v>22</v>
      </c>
      <c r="I50" s="31">
        <f>IF(H50=" "," ",($I$26-$D$3*$F$13)*((H50/$F$13)-($C$18/(PI()))*SIN((PI()*H50)/$F$13))+$D$3*H50)</f>
        <v>0.773298414925086</v>
      </c>
      <c r="J50" s="31">
        <f t="shared" si="6"/>
        <v>1.08760850450152</v>
      </c>
      <c r="K50" s="31">
        <f t="shared" si="3"/>
        <v>22</v>
      </c>
      <c r="L50" s="31">
        <f>IF(K50=" "," ",($L$26-$D$3*$F$12)*((K50/$F$12)-($C$18/(PI()))*SIN((PI()*K50)/$F$12))+$D$3*K50)</f>
        <v>0.761182163321684</v>
      </c>
      <c r="M50" s="31">
        <f t="shared" si="7"/>
        <v>1.08452324437751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0.843452445049489</v>
      </c>
      <c r="C51" s="31">
        <f t="shared" si="4"/>
        <v>1.08015287126179</v>
      </c>
      <c r="D51" s="31">
        <f t="shared" si="1"/>
        <v>23</v>
      </c>
      <c r="E51" s="31">
        <f>IF(D51=" "," ",($E$26-$B$3*($F$8))*((D51/($F$8))-($C$18/(PI()))*SIN((PI()*D51)/($F$8)))+$B$3*D51)</f>
        <v>0.843452445049489</v>
      </c>
      <c r="F51" s="31">
        <f t="shared" si="5"/>
        <v>1.08015287126179</v>
      </c>
      <c r="G51" s="31"/>
      <c r="H51" s="31">
        <f t="shared" si="2"/>
        <v>23</v>
      </c>
      <c r="I51" s="31">
        <f>IF(H51=" "," ",($I$26-$D$3*$F$13)*((H51/$F$13)-($C$18/(PI()))*SIN((PI()*H51)/$F$13))+$D$3*H51)</f>
        <v>0.868979784437799</v>
      </c>
      <c r="J51" s="31">
        <f t="shared" si="6"/>
        <v>1.08346174200912</v>
      </c>
      <c r="K51" s="31">
        <f t="shared" si="3"/>
        <v>23</v>
      </c>
      <c r="L51" s="31">
        <f>IF(K51=" "," ",($L$26-$D$3*$F$12)*((K51/$F$12)-($C$18/(PI()))*SIN((PI()*K51)/$F$12))+$D$3*K51)</f>
        <v>0.853876443389483</v>
      </c>
      <c r="M51" s="31">
        <f t="shared" si="7"/>
        <v>1.08023078193683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0.941856084631965</v>
      </c>
      <c r="C52" s="31">
        <f t="shared" si="4"/>
        <v>1.07615958960906</v>
      </c>
      <c r="D52" s="31">
        <f t="shared" si="1"/>
        <v>24</v>
      </c>
      <c r="E52" s="31">
        <f>IF(D52=" "," ",($E$26-$B$3*($F$8))*((D52/($F$8))-($C$18/(PI()))*SIN((PI()*D52)/($F$8)))+$B$3*D52)</f>
        <v>0.941856084631965</v>
      </c>
      <c r="F52" s="31">
        <f t="shared" si="5"/>
        <v>1.07615958960906</v>
      </c>
      <c r="G52" s="31"/>
      <c r="H52" s="31">
        <f t="shared" si="2"/>
        <v>24</v>
      </c>
      <c r="I52" s="31">
        <f>IF(H52=" "," ",($I$26-$D$3*$F$13)*((H52/$F$13)-($C$18/(PI()))*SIN((PI()*H52)/$F$13))+$D$3*H52)</f>
        <v>0.972277914676428</v>
      </c>
      <c r="J52" s="31">
        <f t="shared" si="6"/>
        <v>1.07960547350762</v>
      </c>
      <c r="K52" s="31">
        <f t="shared" si="3"/>
        <v>24</v>
      </c>
      <c r="L52" s="31">
        <f>IF(K52=" "," ",($L$26-$D$3*$F$12)*((K52/$F$12)-($C$18/(PI()))*SIN((PI()*K52)/$F$12))+$D$3*K52)</f>
        <v>0.953636634201388</v>
      </c>
      <c r="M52" s="31">
        <f t="shared" si="7"/>
        <v>1.07622812042921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1.04738666971422</v>
      </c>
      <c r="C53" s="31">
        <f t="shared" si="4"/>
        <v>1.07242562907243</v>
      </c>
      <c r="D53" s="31">
        <f t="shared" si="1"/>
        <v>25</v>
      </c>
      <c r="E53" s="31">
        <f>IF(D53=" "," ",($E$26-$B$3*($F$8))*((D53/($F$8))-($C$18/(PI()))*SIN((PI()*D53)/($F$8)))+$B$3*D53)</f>
        <v>1.04738666971422</v>
      </c>
      <c r="F53" s="31">
        <f t="shared" si="5"/>
        <v>1.07242562907243</v>
      </c>
      <c r="G53" s="31"/>
      <c r="H53" s="31">
        <f t="shared" si="2"/>
        <v>25</v>
      </c>
      <c r="I53" s="31">
        <f>IF(H53=" "," ",($I$26-$D$3*$F$13)*((H53/$F$13)-($C$18/(PI()))*SIN((PI()*H53)/$F$13))+$D$3*H53)</f>
        <v>1.08342781479849</v>
      </c>
      <c r="J53" s="31">
        <f t="shared" si="6"/>
        <v>1.0760107648153</v>
      </c>
      <c r="K53" s="31">
        <f t="shared" si="3"/>
        <v>25</v>
      </c>
      <c r="L53" s="31">
        <f>IF(K53=" "," ",($L$26-$D$3*$F$12)*((K53/$F$12)-($C$18/(PI()))*SIN((PI()*K53)/$F$12))+$D$3*K53)</f>
        <v>1.06062806055738</v>
      </c>
      <c r="M53" s="31">
        <f t="shared" si="7"/>
        <v>1.07248618397014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1.1601909959315</v>
      </c>
      <c r="C54" s="31">
        <f t="shared" si="4"/>
        <v>1.06892543170644</v>
      </c>
      <c r="D54" s="31">
        <f t="shared" si="1"/>
        <v>26</v>
      </c>
      <c r="E54" s="31">
        <f>IF(D54=" "," ",($E$26-$B$3*($F$8))*((D54/($F$8))-($C$18/(PI()))*SIN((PI()*D54)/($F$8)))+$B$3*D54)</f>
        <v>1.1601909959315</v>
      </c>
      <c r="F54" s="31">
        <f t="shared" si="5"/>
        <v>1.06892543170644</v>
      </c>
      <c r="G54" s="31"/>
      <c r="H54" s="31">
        <f t="shared" si="2"/>
        <v>26</v>
      </c>
      <c r="I54" s="31">
        <f>IF(H54=" "," ",($I$26-$D$3*$F$13)*((H54/$F$13)-($C$18/(PI()))*SIN((PI()*H54)/$F$13))+$D$3*H54)</f>
        <v>1.20265297040643</v>
      </c>
      <c r="J54" s="31">
        <f t="shared" si="6"/>
        <v>1.07265193650217</v>
      </c>
      <c r="K54" s="31">
        <f t="shared" si="3"/>
        <v>26</v>
      </c>
      <c r="L54" s="31">
        <f>IF(K54=" "," ",($L$26-$D$3*$F$12)*((K54/$F$12)-($C$18/(PI()))*SIN((PI()*K54)/$F$12))+$D$3*K54)</f>
        <v>1.17499966618313</v>
      </c>
      <c r="M54" s="31">
        <f t="shared" si="7"/>
        <v>1.06897916516409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1.28039938155591</v>
      </c>
      <c r="C55" s="31">
        <f t="shared" si="4"/>
        <v>1.06563630718261</v>
      </c>
      <c r="D55" s="31">
        <f t="shared" si="1"/>
        <v>27</v>
      </c>
      <c r="E55" s="31">
        <f>IF(D55=" "," ",($E$26-$B$3*($F$8))*((D55/($F$8))-($C$18/(PI()))*SIN((PI()*D55)/($F$8)))+$B$3*D55)</f>
        <v>1.28039938155591</v>
      </c>
      <c r="F55" s="31">
        <f t="shared" si="5"/>
        <v>1.06563630718261</v>
      </c>
      <c r="G55" s="31"/>
      <c r="H55" s="31">
        <f t="shared" si="2"/>
        <v>27</v>
      </c>
      <c r="I55" s="31">
        <f>IF(H55=" "," ",($I$26-$D$3*$F$13)*((H55/$F$13)-($C$18/(PI()))*SIN((PI()*H55)/$F$13))+$D$3*H55)</f>
        <v>1.33016501555175</v>
      </c>
      <c r="J55" s="31">
        <f t="shared" si="6"/>
        <v>1.06950621699847</v>
      </c>
      <c r="K55" s="31">
        <f t="shared" si="3"/>
        <v>27</v>
      </c>
      <c r="L55" s="31">
        <f>IF(K55=" "," ",($L$26-$D$3*$F$12)*((K55/$F$12)-($C$18/(PI()))*SIN((PI()*K55)/$F$12))+$D$3*K55)</f>
        <v>1.29688367632453</v>
      </c>
      <c r="M55" s="31">
        <f t="shared" si="7"/>
        <v>1.06568417462141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1.40812537228358</v>
      </c>
      <c r="C56" s="31">
        <f t="shared" si="4"/>
        <v>1.06253810883671</v>
      </c>
      <c r="D56" s="31">
        <f t="shared" si="1"/>
        <v>28</v>
      </c>
      <c r="E56" s="31">
        <f>IF(D56=" "," ",($E$26-$B$3*($F$8))*((D56/($F$8))-($C$18/(PI()))*SIN((PI()*D56)/($F$8)))+$B$3*D56)</f>
        <v>1.40812537228358</v>
      </c>
      <c r="F56" s="31">
        <f t="shared" si="5"/>
        <v>1.06253810883671</v>
      </c>
      <c r="G56" s="31"/>
      <c r="H56" s="31">
        <f t="shared" si="2"/>
        <v>28</v>
      </c>
      <c r="I56" s="31">
        <f>IF(H56=" "," ",($I$26-$D$3*$F$13)*((H56/$F$13)-($C$18/(PI()))*SIN((PI()*H56)/$F$13))+$D$3*H56)</f>
        <v>1.46616342213274</v>
      </c>
      <c r="J56" s="31">
        <f t="shared" si="6"/>
        <v>1.06655341011915</v>
      </c>
      <c r="K56" s="31">
        <f t="shared" si="3"/>
        <v>28</v>
      </c>
      <c r="L56" s="31">
        <f>IF(K56=" "," ",($L$26-$D$3*$F$12)*((K56/$F$12)-($C$18/(PI()))*SIN((PI()*K56)/$F$12))+$D$3*K56)</f>
        <v>1.426395298215</v>
      </c>
      <c r="M56" s="31">
        <f t="shared" si="7"/>
        <v>1.06258090573349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1.54346548401718</v>
      </c>
      <c r="C57" s="31">
        <f t="shared" si="4"/>
        <v>1.05961293361322</v>
      </c>
      <c r="D57" s="31">
        <f t="shared" si="1"/>
        <v>29</v>
      </c>
      <c r="E57" s="31">
        <f>IF(D57=" "," ",($E$26-$B$3*($F$8))*((D57/($F$8))-($C$18/(PI()))*SIN((PI()*D57)/($F$8)))+$B$3*D57)</f>
        <v>1.54346548401718</v>
      </c>
      <c r="F57" s="31">
        <f t="shared" si="5"/>
        <v>1.05961293361322</v>
      </c>
      <c r="G57" s="31"/>
      <c r="H57" s="31">
        <f t="shared" si="2"/>
        <v>29</v>
      </c>
      <c r="I57" s="31">
        <f>IF(H57=" "," ",($I$26-$D$3*$F$13)*((H57/$F$13)-($C$18/(PI()))*SIN((PI()*H57)/$F$13))+$D$3*H57)</f>
        <v>1.61083520714209</v>
      </c>
      <c r="J57" s="31">
        <f t="shared" si="6"/>
        <v>1.06377558859989</v>
      </c>
      <c r="K57" s="31">
        <f t="shared" si="3"/>
        <v>29</v>
      </c>
      <c r="L57" s="31">
        <f>IF(K57=" "," ",($L$26-$D$3*$F$12)*((K57/$F$12)-($C$18/(PI()))*SIN((PI()*K57)/$F$12))+$D$3*K57)</f>
        <v>1.56363246009408</v>
      </c>
      <c r="M57" s="31">
        <f t="shared" si="7"/>
        <v>1.05965132608045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1.68649898422634</v>
      </c>
      <c r="C58" s="31">
        <f t="shared" si="4"/>
        <v>1.05684485092418</v>
      </c>
      <c r="D58" s="31">
        <f t="shared" si="1"/>
        <v>30</v>
      </c>
      <c r="E58" s="31">
        <f>IF(D58=" "," ",($E$26-$B$3*($F$8))*((D58/($F$8))-($C$18/(PI()))*SIN((PI()*D58)/($F$8)))+$B$3*D58)</f>
        <v>1.68649898422634</v>
      </c>
      <c r="F58" s="31">
        <f t="shared" si="5"/>
        <v>1.05684485092418</v>
      </c>
      <c r="G58" s="31"/>
      <c r="H58" s="31">
        <f t="shared" si="2"/>
        <v>30</v>
      </c>
      <c r="I58" s="31">
        <f>IF(H58=" "," ",($I$26-$D$3*$F$13)*((H58/$F$13)-($C$18/(PI()))*SIN((PI()*H58)/$F$13))+$D$3*H58)</f>
        <v>1.76435465819357</v>
      </c>
      <c r="J58" s="31">
        <f t="shared" si="6"/>
        <v>1.06115681811459</v>
      </c>
      <c r="K58" s="31">
        <f t="shared" si="3"/>
        <v>30</v>
      </c>
      <c r="L58" s="31">
        <f>IF(K58=" "," ",($L$26-$D$3*$F$12)*((K58/$F$12)-($C$18/(PI()))*SIN((PI()*K58)/$F$12))+$D$3*K58)</f>
        <v>1.70867558936839</v>
      </c>
      <c r="M58" s="31">
        <f t="shared" si="7"/>
        <v>1.05687939978037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1.83728771238133</v>
      </c>
      <c r="C59" s="31">
        <f t="shared" si="4"/>
        <v>1.05421966136949</v>
      </c>
      <c r="D59" s="31">
        <f t="shared" si="1"/>
        <v>31</v>
      </c>
      <c r="E59" s="31">
        <f>IF(D59=" "," ",($E$26-$B$3*($F$8))*((D59/($F$8))-($C$18/(PI()))*SIN((PI()*D59)/($F$8)))+$B$3*D59)</f>
        <v>1.83728771238133</v>
      </c>
      <c r="F59" s="31">
        <f t="shared" si="5"/>
        <v>1.05421966136949</v>
      </c>
      <c r="G59" s="31"/>
      <c r="H59" s="31">
        <f t="shared" si="2"/>
        <v>31</v>
      </c>
      <c r="I59" s="31">
        <f>IF(H59=" "," ",($I$26-$D$3*$F$13)*((H59/$F$13)-($C$18/(PI()))*SIN((PI()*H59)/$F$13))+$D$3*H59)</f>
        <v>1.92688307773096</v>
      </c>
      <c r="J59" s="31">
        <f t="shared" si="6"/>
        <v>1.05868291232287</v>
      </c>
      <c r="K59" s="31">
        <f t="shared" si="3"/>
        <v>31</v>
      </c>
      <c r="L59" s="31">
        <f>IF(K59=" "," ",($L$26-$D$3*$F$12)*((K59/$F$12)-($C$18/(PI()))*SIN((PI()*K59)/$F$12))+$D$3*K59)</f>
        <v>1.86158743041778</v>
      </c>
      <c r="M59" s="31">
        <f t="shared" si="7"/>
        <v>1.05425084121146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1.99587593986679</v>
      </c>
      <c r="C60" s="31">
        <f t="shared" si="4"/>
        <v>1.05172468410535</v>
      </c>
      <c r="D60" s="31">
        <f t="shared" si="1"/>
        <v>32</v>
      </c>
      <c r="E60" s="31">
        <f>IF(D60=" "," ",($E$26-$B$3*($F$8))*((D60/($F$8))-($C$18/(PI()))*SIN((PI()*D60)/($F$8)))+$B$3*D60)</f>
        <v>1.99587593986679</v>
      </c>
      <c r="F60" s="31">
        <f t="shared" si="5"/>
        <v>1.05172468410535</v>
      </c>
      <c r="G60" s="31"/>
      <c r="H60" s="31">
        <f t="shared" si="2"/>
        <v>32</v>
      </c>
      <c r="I60" s="31">
        <f>IF(H60=" "," ",($I$26-$D$3*$F$13)*((H60/$F$13)-($C$18/(PI()))*SIN((PI()*H60)/$F$13))+$D$3*H60)</f>
        <v>2.09856854629447</v>
      </c>
      <c r="J60" s="31">
        <f t="shared" si="6"/>
        <v>1.05634121744478</v>
      </c>
      <c r="K60" s="31">
        <f t="shared" si="3"/>
        <v>32</v>
      </c>
      <c r="L60" s="31">
        <f>IF(K60=" "," ",($L$26-$D$3*$F$12)*((K60/$F$12)-($C$18/(PI()))*SIN((PI()*K60)/$F$12))+$D$3*K60)</f>
        <v>2.02241290245906</v>
      </c>
      <c r="M60" s="31">
        <f t="shared" si="7"/>
        <v>1.05175289851709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2.16229026969279</v>
      </c>
      <c r="C61" s="31">
        <f t="shared" si="4"/>
        <v>1.04934857060086</v>
      </c>
      <c r="D61" s="31">
        <f t="shared" si="1"/>
        <v>33</v>
      </c>
      <c r="E61" s="31">
        <f>IF(D61=" "," ",($E$26-$B$3*($F$8))*((D61/($F$8))-($C$18/(PI()))*SIN((PI()*D61)/($F$8)))+$B$3*D61)</f>
        <v>2.16229026969279</v>
      </c>
      <c r="F61" s="31">
        <f t="shared" si="5"/>
        <v>1.04934857060086</v>
      </c>
      <c r="G61" s="31"/>
      <c r="H61" s="31">
        <f t="shared" si="2"/>
        <v>33</v>
      </c>
      <c r="I61" s="31">
        <f>IF(H61=" "," ",($I$26-$D$3*$F$13)*((H61/$F$13)-($C$18/(PI()))*SIN((PI()*H61)/$F$13))+$D$3*H61)</f>
        <v>2.2795457051921</v>
      </c>
      <c r="J61" s="31">
        <f t="shared" si="6"/>
        <v>1.05412042388838</v>
      </c>
      <c r="K61" s="31">
        <f t="shared" si="3"/>
        <v>33</v>
      </c>
      <c r="L61" s="31">
        <f>IF(K61=" "," ",($L$26-$D$3*$F$12)*((K61/$F$12)-($C$18/(PI()))*SIN((PI()*K61)/$F$12))+$D$3*K61)</f>
        <v>2.19117899778956</v>
      </c>
      <c r="M61" s="31">
        <f t="shared" si="7"/>
        <v>1.04937416435612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2.33653957623043</v>
      </c>
      <c r="C62" s="31">
        <f t="shared" si="4"/>
        <v>1.04708114210986</v>
      </c>
      <c r="D62" s="31">
        <f t="shared" si="1"/>
        <v>34</v>
      </c>
      <c r="E62" s="31">
        <f>IF(D62=" "," ",($E$26-$B$3*($F$8))*((D62/($F$8))-($C$18/(PI()))*SIN((PI()*D62)/($F$8)))+$B$3*D62)</f>
        <v>2.33653957623043</v>
      </c>
      <c r="F62" s="31">
        <f t="shared" si="5"/>
        <v>1.04708114210986</v>
      </c>
      <c r="G62" s="31"/>
      <c r="H62" s="31">
        <f t="shared" si="2"/>
        <v>34</v>
      </c>
      <c r="I62" s="31">
        <f>IF(H62=" "," ",($I$26-$D$3*$F$13)*((H62/$F$13)-($C$18/(PI()))*SIN((PI()*H62)/$F$13))+$D$3*H62)</f>
        <v>2.46993555889501</v>
      </c>
      <c r="J62" s="31">
        <f t="shared" si="6"/>
        <v>1.0520104021005</v>
      </c>
      <c r="K62" s="31">
        <f t="shared" si="3"/>
        <v>34</v>
      </c>
      <c r="L62" s="31">
        <f>IF(K62=" "," ",($L$26-$D$3*$F$12)*((K62/$F$12)-($C$18/(PI()))*SIN((PI()*K62)/$F$12))+$D$3*K62)</f>
        <v>2.36789472064088</v>
      </c>
      <c r="M62" s="31">
        <f t="shared" si="7"/>
        <v>1.04710441102079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2.51861498510861</v>
      </c>
      <c r="C63" s="31">
        <f t="shared" si="4"/>
        <v>1.04491324812728</v>
      </c>
      <c r="D63" s="31">
        <f t="shared" si="1"/>
        <v>35</v>
      </c>
      <c r="E63" s="31">
        <f>IF(D63=" "," ",($E$26-$B$3*($F$8))*((D63/($F$8))-($C$18/(PI()))*SIN((PI()*D63)/($F$8)))+$B$3*D63)</f>
        <v>2.51861498510861</v>
      </c>
      <c r="F63" s="31">
        <f t="shared" si="5"/>
        <v>1.04491324812728</v>
      </c>
      <c r="G63" s="31"/>
      <c r="H63" s="31">
        <f t="shared" si="2"/>
        <v>35</v>
      </c>
      <c r="I63" s="31">
        <f>IF(H63=" "," ",($I$26-$D$3*$F$13)*((H63/$F$13)-($C$18/(PI()))*SIN((PI()*H63)/$F$13))+$D$3*H63)</f>
        <v>2.66984529744671</v>
      </c>
      <c r="J63" s="31">
        <f t="shared" si="6"/>
        <v>1.05000205979281</v>
      </c>
      <c r="K63" s="31">
        <f t="shared" si="3"/>
        <v>35</v>
      </c>
      <c r="L63" s="31">
        <f>IF(K63=" "," ",($L$26-$D$3*$F$12)*((K63/$F$12)-($C$18/(PI()))*SIN((PI()*K63)/$F$12))+$D$3*K63)</f>
        <v>2.55255106678142</v>
      </c>
      <c r="M63" s="31">
        <f t="shared" si="7"/>
        <v>1.04493444703785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2.70848989331725</v>
      </c>
      <c r="C64" s="31">
        <f t="shared" si="4"/>
        <v>1.04283664322667</v>
      </c>
      <c r="D64" s="31">
        <f t="shared" si="1"/>
        <v>36</v>
      </c>
      <c r="E64" s="31">
        <f>IF(D64=" "," ",($E$26-$B$3*($F$8))*((D64/($F$8))-($C$18/(PI()))*SIN((PI()*D64)/($F$8)))+$B$3*D64)</f>
        <v>2.70848989331725</v>
      </c>
      <c r="F64" s="31">
        <f t="shared" si="5"/>
        <v>1.04283664322667</v>
      </c>
      <c r="G64" s="31"/>
      <c r="H64" s="31">
        <f t="shared" si="2"/>
        <v>36</v>
      </c>
      <c r="I64" s="31">
        <f>IF(H64=" "," ",($I$26-$D$3*$F$13)*((H64/$F$13)-($C$18/(PI()))*SIN((PI()*H64)/$F$13))+$D$3*H64)</f>
        <v>2.87936813914693</v>
      </c>
      <c r="J64" s="31">
        <f t="shared" si="6"/>
        <v>1.04808721785225</v>
      </c>
      <c r="K64" s="31">
        <f t="shared" si="3"/>
        <v>36</v>
      </c>
      <c r="L64" s="31">
        <f>IF(K64=" "," ",($L$26-$D$3*$F$12)*((K64/$F$12)-($C$18/(PI()))*SIN((PI()*K64)/$F$12))+$D$3*K64)</f>
        <v>2.74512104391384</v>
      </c>
      <c r="M64" s="31">
        <f t="shared" si="7"/>
        <v>1.04285599253582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2.90612002947172</v>
      </c>
      <c r="C65" s="31">
        <f t="shared" si="4"/>
        <v>1.0408438798944</v>
      </c>
      <c r="D65" s="31">
        <f t="shared" si="1"/>
        <v>37</v>
      </c>
      <c r="E65" s="31">
        <f>IF(D65=" "," ",($E$26-$B$3*($F$8))*((D65/($F$8))-($C$18/(PI()))*SIN((PI()*D65)/($F$8)))+$B$3*D65)</f>
        <v>2.90612002947172</v>
      </c>
      <c r="F65" s="31">
        <f t="shared" si="5"/>
        <v>1.0408438798944</v>
      </c>
      <c r="G65" s="31"/>
      <c r="H65" s="31">
        <f t="shared" si="2"/>
        <v>37</v>
      </c>
      <c r="I65" s="31">
        <f>IF(H65=" "," ",($I$26-$D$3*$F$13)*((H65/$F$13)-($C$18/(PI()))*SIN((PI()*H65)/$F$13))+$D$3*H65)</f>
        <v>3.0985831937409</v>
      </c>
      <c r="J65" s="31">
        <f t="shared" si="6"/>
        <v>1.0462585024864</v>
      </c>
      <c r="K65" s="31">
        <f t="shared" si="3"/>
        <v>37</v>
      </c>
      <c r="L65" s="31">
        <f>IF(K65=" "," ",($L$26-$D$3*$F$12)*((K65/$F$12)-($C$18/(PI()))*SIN((PI()*K65)/$F$12))+$D$3*K65)</f>
        <v>2.94555973282135</v>
      </c>
      <c r="M65" s="31">
        <f t="shared" si="7"/>
        <v>1.04086157090658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3.11144355410176</v>
      </c>
      <c r="C66" s="31">
        <f t="shared" si="4"/>
        <v>1.03892821522698</v>
      </c>
      <c r="D66" s="31">
        <f t="shared" si="1"/>
        <v>38</v>
      </c>
      <c r="E66" s="31">
        <f>IF(D66=" "," ",($E$26-$B$3*($F$8))*((D66/($F$8))-($C$18/(PI()))*SIN((PI()*D66)/($F$8)))+$B$3*D66)</f>
        <v>3.11144355410176</v>
      </c>
      <c r="F66" s="31">
        <f t="shared" si="5"/>
        <v>1.03892821522698</v>
      </c>
      <c r="G66" s="31"/>
      <c r="H66" s="31">
        <f t="shared" si="2"/>
        <v>38</v>
      </c>
      <c r="I66" s="31">
        <f>IF(H66=" "," ",($I$26-$D$3*$F$13)*((H66/$F$13)-($C$18/(PI()))*SIN((PI()*H66)/$F$13))+$D$3*H66)</f>
        <v>3.32755534631489</v>
      </c>
      <c r="J66" s="31">
        <f t="shared" si="6"/>
        <v>1.04450925142019</v>
      </c>
      <c r="K66" s="31">
        <f t="shared" si="3"/>
        <v>38</v>
      </c>
      <c r="L66" s="31">
        <f>IF(K66=" "," ",($L$26-$D$3*$F$12)*((K66/$F$12)-($C$18/(PI()))*SIN((PI()*K66)/$F$12))+$D$3*K66)</f>
        <v>3.15380438912409</v>
      </c>
      <c r="M66" s="31">
        <f t="shared" si="7"/>
        <v>1.03894441456283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3.32438119973772</v>
      </c>
      <c r="C67" s="31">
        <f t="shared" si="4"/>
        <v>1.03708352961332</v>
      </c>
      <c r="D67" s="31">
        <f t="shared" si="1"/>
        <v>39</v>
      </c>
      <c r="E67" s="31">
        <f>IF(D67=" "," ",($E$26-$B$3*($F$8))*((D67/($F$8))-($C$18/(PI()))*SIN((PI()*D67)/($F$8)))+$B$3*D67)</f>
        <v>3.32438119973772</v>
      </c>
      <c r="F67" s="31">
        <f t="shared" si="5"/>
        <v>1.03708352961332</v>
      </c>
      <c r="G67" s="31"/>
      <c r="H67" s="31">
        <f t="shared" si="2"/>
        <v>39</v>
      </c>
      <c r="I67" s="31">
        <f>IF(H67=" "," ",($I$26-$D$3*$F$13)*((H67/$F$13)-($C$18/(PI()))*SIN((PI()*H67)/$F$13))+$D$3*H67)</f>
        <v>3.56633516206837</v>
      </c>
      <c r="J67" s="31">
        <f t="shared" si="6"/>
        <v>1.04283343222854</v>
      </c>
      <c r="K67" s="31">
        <f t="shared" si="3"/>
        <v>39</v>
      </c>
      <c r="L67" s="31">
        <f>IF(K67=" "," ",($L$26-$D$3*$F$12)*((K67/$F$12)-($C$18/(PI()))*SIN((PI()*K67)/$F$12))+$D$3*K67)</f>
        <v>3.36977458541543</v>
      </c>
      <c r="M67" s="31">
        <f t="shared" si="7"/>
        <v>1.03709838286253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3.54483645047695</v>
      </c>
      <c r="C68" s="31">
        <f t="shared" si="4"/>
        <v>1.03530425576377</v>
      </c>
      <c r="D68" s="31">
        <f t="shared" si="1"/>
        <v>40</v>
      </c>
      <c r="E68" s="31">
        <f>IF(D68=" "," ",($E$26-$B$3*($F$8))*((D68/($F$8))-($C$18/(PI()))*SIN((PI()*D68)/($F$8)))+$B$3*D68)</f>
        <v>3.54483645047695</v>
      </c>
      <c r="F68" s="31">
        <f t="shared" si="5"/>
        <v>1.03530425576377</v>
      </c>
      <c r="G68" s="31"/>
      <c r="H68" s="31">
        <f t="shared" si="2"/>
        <v>40</v>
      </c>
      <c r="I68" s="31">
        <f>IF(H68=" "," ",($I$26-$D$3*$F$13)*((H68/$F$13)-($C$18/(PI()))*SIN((PI()*H68)/$F$13))+$D$3*H68)</f>
        <v>3.81495881210268</v>
      </c>
      <c r="J68" s="31">
        <f t="shared" si="6"/>
        <v>1.04122557113865</v>
      </c>
      <c r="K68" s="31">
        <f t="shared" si="3"/>
        <v>40</v>
      </c>
      <c r="L68" s="31">
        <f>IF(K68=" "," ",($L$26-$D$3*$F$12)*((K68/$F$12)-($C$18/(PI()))*SIN((PI()*K68)/$F$12))+$D$3*K68)</f>
        <v>3.59337239345586</v>
      </c>
      <c r="M68" s="31">
        <f t="shared" si="7"/>
        <v>1.03531789052407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3.77269576062331</v>
      </c>
      <c r="C69" s="31">
        <f t="shared" si="4"/>
        <v>1.03358531666765</v>
      </c>
      <c r="D69" s="31">
        <f t="shared" si="1"/>
        <v>41</v>
      </c>
      <c r="E69" s="31">
        <f>IF(D69=" "," ",($E$26-$B$3*($F$8))*((D69/($F$8))-($C$18/(PI()))*SIN((PI()*D69)/($F$8)))+$B$3*D69)</f>
        <v>3.77269576062331</v>
      </c>
      <c r="F69" s="31">
        <f t="shared" si="5"/>
        <v>1.03358531666765</v>
      </c>
      <c r="G69" s="31"/>
      <c r="H69" s="31">
        <f t="shared" si="2"/>
        <v>41</v>
      </c>
      <c r="I69" s="31">
        <f>IF(H69=" "," ",($I$26-$D$3*$F$13)*((H69/$F$13)-($C$18/(PI()))*SIN((PI()*H69)/$F$13))+$D$3*H69)</f>
        <v>4.07344802033486</v>
      </c>
      <c r="J69" s="31">
        <f t="shared" si="6"/>
        <v>1.03968069086152</v>
      </c>
      <c r="K69" s="31">
        <f t="shared" si="3"/>
        <v>41</v>
      </c>
      <c r="L69" s="31">
        <f>IF(K69=" "," ",($L$26-$D$3*$F$12)*((K69/$F$12)-($C$18/(PI()))*SIN((PI()*K69)/$F$12))+$D$3*K69)</f>
        <v>3.82448260601193</v>
      </c>
      <c r="M69" s="31">
        <f t="shared" si="7"/>
        <v>1.03359784508394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4.00782881190469</v>
      </c>
      <c r="C70" s="31">
        <f t="shared" si="4"/>
        <v>1.03192207125685</v>
      </c>
      <c r="D70" s="31">
        <f t="shared" si="1"/>
        <v>42</v>
      </c>
      <c r="E70" s="31">
        <f>IF(D70=" "," ",($E$26-$B$3*($F$8))*((D70/($F$8))-($C$18/(PI()))*SIN((PI()*D70)/($F$8)))+$B$3*D70)</f>
        <v>4.00782881190469</v>
      </c>
      <c r="F70" s="31">
        <f t="shared" si="5"/>
        <v>1.03192207125685</v>
      </c>
      <c r="G70" s="31"/>
      <c r="H70" s="31">
        <f t="shared" si="2"/>
        <v>42</v>
      </c>
      <c r="I70" s="31">
        <f>IF(H70=" "," ",($I$26-$D$3*$F$13)*((H70/$F$13)-($C$18/(PI()))*SIN((PI()*H70)/$F$13))+$D$3*H70)</f>
        <v>4.34181003161487</v>
      </c>
      <c r="J70" s="31">
        <f t="shared" si="6"/>
        <v>1.03819425621424</v>
      </c>
      <c r="K70" s="31">
        <f t="shared" si="3"/>
        <v>42</v>
      </c>
      <c r="L70" s="31">
        <f>IF(K70=" "," ",($L$26-$D$3*$F$12)*((K70/$F$12)-($C$18/(PI()))*SIN((PI()*K70)/$F$12))+$D$3*K70)</f>
        <v>4.06297299783775</v>
      </c>
      <c r="M70" s="31">
        <f t="shared" si="7"/>
        <v>1.03193359215124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4.25008880868585</v>
      </c>
      <c r="C71" s="31">
        <f t="shared" si="4"/>
        <v>1.03031026672319</v>
      </c>
      <c r="D71" s="31">
        <f t="shared" si="1"/>
        <v>43</v>
      </c>
      <c r="E71" s="31">
        <f>IF(D71=" "," ",($E$26-$B$3*($F$8))*((D71/($F$8))-($C$18/(PI()))*SIN((PI()*D71)/($F$8)))+$B$3*D71)</f>
        <v>4.25008880868585</v>
      </c>
      <c r="F71" s="31">
        <f t="shared" si="5"/>
        <v>1.03031026672319</v>
      </c>
      <c r="G71" s="31"/>
      <c r="H71" s="31">
        <f t="shared" si="2"/>
        <v>43</v>
      </c>
      <c r="I71" s="31">
        <f>IF(H71=" "," ",($I$26-$D$3*$F$13)*((H71/$F$13)-($C$18/(PI()))*SIN((PI()*H71)/$F$13))+$D$3*H71)</f>
        <v>4.62003760109276</v>
      </c>
      <c r="J71" s="31">
        <f t="shared" si="6"/>
        <v>1.03676212646797</v>
      </c>
      <c r="K71" s="31">
        <f t="shared" si="3"/>
        <v>43</v>
      </c>
      <c r="L71" s="31">
        <f>IF(K71=" "," ",($L$26-$D$3*$F$12)*((K71/$F$12)-($C$18/(PI()))*SIN((PI()*K71)/$F$12))+$D$3*K71)</f>
        <v>4.30869462520766</v>
      </c>
      <c r="M71" s="31">
        <f t="shared" si="7"/>
        <v>1.03032086738894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4.49931281050772</v>
      </c>
      <c r="C72" s="31">
        <f t="shared" si="4"/>
        <v>1.02874599658728</v>
      </c>
      <c r="D72" s="31">
        <f t="shared" si="1"/>
        <v>44</v>
      </c>
      <c r="E72" s="31">
        <f>IF(D72=" "," ",($E$26-$B$3*($F$8))*((D72/($F$8))-($C$18/(PI()))*SIN((PI()*D72)/($F$8)))+$B$3*D72)</f>
        <v>4.49931281050772</v>
      </c>
      <c r="F72" s="31">
        <f t="shared" si="5"/>
        <v>1.02874599658728</v>
      </c>
      <c r="G72" s="31"/>
      <c r="H72" s="31">
        <f t="shared" si="2"/>
        <v>44</v>
      </c>
      <c r="I72" s="31">
        <f>IF(H72=" "," ",($I$26-$D$3*$F$13)*((H72/$F$13)-($C$18/(PI()))*SIN((PI()*H72)/$F$13))+$D$3*H72)</f>
        <v>4.90810900485147</v>
      </c>
      <c r="J72" s="31">
        <f t="shared" si="6"/>
        <v>1.03538051351018</v>
      </c>
      <c r="K72" s="31">
        <f t="shared" si="3"/>
        <v>44</v>
      </c>
      <c r="L72" s="31">
        <f>IF(K72=" "," ",($L$26-$D$3*$F$12)*((K72/$F$12)-($C$18/(PI()))*SIN((PI()*K72)/$F$12))+$D$3*K72)</f>
        <v>4.56148216332168</v>
      </c>
      <c r="M72" s="31">
        <f t="shared" si="7"/>
        <v>1.02875575430514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4.75532210119993</v>
      </c>
      <c r="C73" s="31">
        <f t="shared" si="4"/>
        <v>1.02722566374326</v>
      </c>
      <c r="D73" s="31">
        <f t="shared" si="1"/>
        <v>45</v>
      </c>
      <c r="E73" s="31">
        <f>IF(D73=" "," ",($E$26-$B$3*($F$8))*((D73/($F$8))-($C$18/(PI()))*SIN((PI()*D73)/($F$8)))+$B$3*D73)</f>
        <v>4.75532210119993</v>
      </c>
      <c r="F73" s="31">
        <f t="shared" si="5"/>
        <v>1.02722566374326</v>
      </c>
      <c r="G73" s="31"/>
      <c r="H73" s="31">
        <f t="shared" si="2"/>
        <v>45</v>
      </c>
      <c r="I73" s="31">
        <f>IF(H73=" "," ",($I$26-$D$3*$F$13)*((H73/$F$13)-($C$18/(PI()))*SIN((PI()*H73)/$F$13))+$D$3*H73)</f>
        <v>5.20598807178968</v>
      </c>
      <c r="J73" s="31">
        <f t="shared" si="6"/>
        <v>1.0340459450384</v>
      </c>
      <c r="K73" s="31">
        <f t="shared" si="3"/>
        <v>45</v>
      </c>
      <c r="L73" s="31">
        <f>IF(K73=" "," ",($L$26-$D$3*$F$12)*((K73/$F$12)-($C$18/(PI()))*SIN((PI()*K73)/$F$12))+$D$3*K73)</f>
        <v>4.82115428081936</v>
      </c>
      <c r="M73" s="31">
        <f t="shared" si="7"/>
        <v>1.02723464706772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5.01792259373048</v>
      </c>
      <c r="C74" s="31">
        <f t="shared" si="4"/>
        <v>1.02574594781505</v>
      </c>
      <c r="D74" s="31">
        <f t="shared" si="1"/>
        <v>46</v>
      </c>
      <c r="E74" s="31">
        <f>IF(D74=" "," ",($E$26-$B$3*($F$8))*((D74/($F$8))-($C$18/(PI()))*SIN((PI()*D74)/($F$8)))+$B$3*D74)</f>
        <v>5.01792259373048</v>
      </c>
      <c r="F74" s="31">
        <f t="shared" si="5"/>
        <v>1.02574594781505</v>
      </c>
      <c r="G74" s="31"/>
      <c r="H74" s="31">
        <f t="shared" si="2"/>
        <v>46</v>
      </c>
      <c r="I74" s="31">
        <f>IF(H74=" "," ",($I$26-$D$3*$F$13)*((H74/$F$13)-($C$18/(PI()))*SIN((PI()*H74)/$F$13))+$D$3*H74)</f>
        <v>5.51362423670791</v>
      </c>
      <c r="J74" s="31">
        <f t="shared" si="6"/>
        <v>1.03275523211585</v>
      </c>
      <c r="K74" s="31">
        <f t="shared" si="3"/>
        <v>46</v>
      </c>
      <c r="L74" s="31">
        <f>IF(K74=" "," ",($L$26-$D$3*$F$12)*((K74/$F$12)-($C$18/(PI()))*SIN((PI()*K74)/$F$12))+$D$3*K74)</f>
        <v>5.08751405055362</v>
      </c>
      <c r="M74" s="31">
        <f t="shared" si="7"/>
        <v>1.02575421766892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5.28690526987521</v>
      </c>
      <c r="C75" s="31">
        <f t="shared" si="4"/>
        <v>1.02430377625223</v>
      </c>
      <c r="D75" s="31">
        <f t="shared" si="1"/>
        <v>47</v>
      </c>
      <c r="E75" s="31">
        <f>IF(D75=" "," ",($E$26-$B$3*($F$8))*((D75/($F$8))-($C$18/(PI()))*SIN((PI()*D75)/($F$8)))+$B$3*D75)</f>
        <v>5.28690526987521</v>
      </c>
      <c r="F75" s="31">
        <f t="shared" si="5"/>
        <v>1.02430377625223</v>
      </c>
      <c r="G75" s="31"/>
      <c r="H75" s="31">
        <f t="shared" si="2"/>
        <v>47</v>
      </c>
      <c r="I75" s="31">
        <f>IF(H75=" "," ",($I$26-$D$3*$F$13)*((H75/$F$13)-($C$18/(PI()))*SIN((PI()*H75)/$F$13))+$D$3*H75)</f>
        <v>5.83095261451987</v>
      </c>
      <c r="J75" s="31">
        <f t="shared" si="6"/>
        <v>1.03150544051386</v>
      </c>
      <c r="K75" s="31">
        <f t="shared" si="3"/>
        <v>47</v>
      </c>
      <c r="L75" s="31">
        <f>IF(K75=" "," ",($L$26-$D$3*$F$12)*((K75/$F$12)-($C$18/(PI()))*SIN((PI()*K75)/$F$12))+$D$3*K75)</f>
        <v>5.36034939569409</v>
      </c>
      <c r="M75" s="31">
        <f t="shared" si="7"/>
        <v>1.02431138686101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5.56204665371138</v>
      </c>
      <c r="C76" s="31">
        <f t="shared" si="4"/>
        <v>1.02289629867508</v>
      </c>
      <c r="D76" s="31">
        <f t="shared" si="1"/>
        <v>48</v>
      </c>
      <c r="E76" s="31">
        <f>IF(D76=" "," ",($E$26-$B$3*($F$8))*((D76/($F$8))-($C$18/(PI()))*SIN((PI()*D76)/($F$8)))+$B$3*D76)</f>
        <v>5.56204665371138</v>
      </c>
      <c r="F76" s="31">
        <f t="shared" si="5"/>
        <v>1.02289629867508</v>
      </c>
      <c r="G76" s="31"/>
      <c r="H76" s="31">
        <f t="shared" si="2"/>
        <v>48</v>
      </c>
      <c r="I76" s="31">
        <f>IF(H76=" "," ",($I$26-$D$3*$F$13)*((H76/$F$13)-($C$18/(PI()))*SIN((PI()*H76)/$F$13))+$D$3*H76)</f>
        <v>6.15789409548037</v>
      </c>
      <c r="J76" s="31">
        <f t="shared" si="6"/>
        <v>1.03029386534798</v>
      </c>
      <c r="K76" s="31">
        <f t="shared" si="3"/>
        <v>48</v>
      </c>
      <c r="L76" s="31">
        <f>IF(K76=" "," ",($L$26-$D$3*$F$12)*((K76/$F$12)-($C$18/(PI()))*SIN((PI()*K76)/$F$12))+$D$3*K76)</f>
        <v>5.63943357014936</v>
      </c>
      <c r="M76" s="31">
        <f t="shared" si="7"/>
        <v>1.02290329836691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5.84310931786246</v>
      </c>
      <c r="C77" s="31">
        <f t="shared" si="4"/>
        <v>1.02152086404579</v>
      </c>
      <c r="D77" s="31">
        <f t="shared" si="1"/>
        <v>49</v>
      </c>
      <c r="E77" s="31">
        <f>IF(D77=" "," ",($E$26-$B$3*($F$8))*((D77/($F$8))-($C$18/(PI()))*SIN((PI()*D77)/($F$8)))+$B$3*D77)</f>
        <v>5.84310931786246</v>
      </c>
      <c r="F77" s="31">
        <f t="shared" si="5"/>
        <v>1.02152086404579</v>
      </c>
      <c r="G77" s="31"/>
      <c r="H77" s="31">
        <f t="shared" si="2"/>
        <v>49</v>
      </c>
      <c r="I77" s="31">
        <f>IF(H77=" "," ",($I$26-$D$3*$F$13)*((H77/$F$13)-($C$18/(PI()))*SIN((PI()*H77)/$F$13))+$D$3*H77)</f>
        <v>6.49435546128966</v>
      </c>
      <c r="J77" s="31">
        <f t="shared" si="6"/>
        <v>1.02911800858314</v>
      </c>
      <c r="K77" s="31">
        <f t="shared" si="3"/>
        <v>49</v>
      </c>
      <c r="L77" s="31">
        <f>IF(K77=" "," ",($L$26-$D$3*$F$12)*((K77/$F$12)-($C$18/(PI()))*SIN((PI()*K77)/$F$12))+$D$3*K77)</f>
        <v>5.92452567221976</v>
      </c>
      <c r="M77" s="31">
        <f t="shared" si="7"/>
        <v>1.02152729593808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6.12984242134752</v>
      </c>
      <c r="C78" s="31">
        <f t="shared" si="4"/>
        <v>1.02017500030149</v>
      </c>
      <c r="D78" s="31">
        <f t="shared" si="1"/>
        <v>50</v>
      </c>
      <c r="E78" s="31">
        <f>IF(D78=" "," ",($E$26-$B$3*($F$8))*((D78/($F$8))-($C$18/(PI()))*SIN((PI()*D78)/($F$8)))+$B$3*D78)</f>
        <v>6.12984242134752</v>
      </c>
      <c r="F78" s="31">
        <f t="shared" si="5"/>
        <v>1.02017500030149</v>
      </c>
      <c r="G78" s="31"/>
      <c r="H78" s="31">
        <f t="shared" si="2"/>
        <v>50</v>
      </c>
      <c r="I78" s="31">
        <f>IF(H78=" "," ",($I$26-$D$3*$F$13)*((H78/$F$13)-($C$18/(PI()))*SIN((PI()*H78)/$F$13))+$D$3*H78)</f>
        <v>6.84022952190422</v>
      </c>
      <c r="J78" s="31">
        <f t="shared" si="6"/>
        <v>1.02797555904416</v>
      </c>
      <c r="K78" s="31">
        <f t="shared" si="3"/>
        <v>50</v>
      </c>
      <c r="L78" s="31">
        <f>IF(K78=" "," ",($L$26-$D$3*$F$12)*((K78/$F$12)-($C$18/(PI()))*SIN((PI()*K78)/$F$12))+$D$3*K78)</f>
        <v>6.21537119031724</v>
      </c>
      <c r="M78" s="31">
        <f t="shared" si="7"/>
        <v>1.02018090289171</v>
      </c>
    </row>
    <row r="79" spans="1:13">
      <c r="A79" s="31">
        <f t="shared" si="0"/>
        <v>51</v>
      </c>
      <c r="B79" s="31">
        <f>IF(A79=" "," ",($B$26-$B$3*($F$9))*((A79/($F$9))-($C$18/(PI()))*SIN((PI()*A79)/($F$9)))+$B$3*A79)</f>
        <v>6.42198227781674</v>
      </c>
      <c r="C79" s="31">
        <f t="shared" si="4"/>
        <v>1.01885639613441</v>
      </c>
      <c r="D79" s="31">
        <f t="shared" si="1"/>
        <v>51</v>
      </c>
      <c r="E79" s="31">
        <f>IF(D79=" "," ",($E$26-$B$3*($F$8))*((D79/($F$8))-($C$18/(PI()))*SIN((PI()*D79)/($F$8)))+$B$3*D79)</f>
        <v>6.42198227781674</v>
      </c>
      <c r="F79" s="31">
        <f t="shared" si="5"/>
        <v>1.01885639613441</v>
      </c>
      <c r="G79" s="31"/>
      <c r="H79" s="31">
        <f t="shared" si="2"/>
        <v>51</v>
      </c>
      <c r="I79" s="31">
        <f>IF(H79=" "," ",($I$26-$D$3*$F$13)*((H79/$F$13)-($C$18/(PI()))*SIN((PI()*H79)/$F$13))+$D$3*H79)</f>
        <v>7.19539527285291</v>
      </c>
      <c r="J79" s="31">
        <f t="shared" si="6"/>
        <v>1.02686437461549</v>
      </c>
      <c r="K79" s="31">
        <f t="shared" si="3"/>
        <v>51</v>
      </c>
      <c r="L79" s="31">
        <f>IF(K79=" "," ",($L$26-$D$3*$F$12)*((K79/$F$12)-($C$18/(PI()))*SIN((PI()*K79)/$F$12))+$D$3*K79)</f>
        <v>6.51170257951593</v>
      </c>
      <c r="M79" s="31">
        <f t="shared" si="7"/>
        <v>1.01886180380947</v>
      </c>
    </row>
    <row r="80" spans="1:13">
      <c r="A80" s="31">
        <f t="shared" si="0"/>
        <v>52</v>
      </c>
      <c r="B80" s="31">
        <f>IF(A80=" "," ",($B$26-$B$3*($F$9))*((A80/($F$9))-($C$18/(PI()))*SIN((PI()*A80)/($F$9)))+$B$3*A80)</f>
        <v>6.71925295288581</v>
      </c>
      <c r="C80" s="31">
        <f t="shared" si="4"/>
        <v>1.01756288464659</v>
      </c>
      <c r="D80" s="31">
        <f t="shared" si="1"/>
        <v>52</v>
      </c>
      <c r="E80" s="31">
        <f>IF(D80=" "," ",($E$26-$B$3*($F$8))*((D80/($F$8))-($C$18/(PI()))*SIN((PI()*D80)/($F$8)))+$B$3*D80)</f>
        <v>6.71925295288581</v>
      </c>
      <c r="F80" s="31">
        <f t="shared" si="5"/>
        <v>1.01756288464659</v>
      </c>
      <c r="G80" s="31"/>
      <c r="H80" s="31">
        <f t="shared" si="2"/>
        <v>52</v>
      </c>
      <c r="I80" s="31">
        <f>IF(H80=" "," ",($I$26-$D$3*$F$13)*((H80/$F$13)-($C$18/(PI()))*SIN((PI()*H80)/$F$13))+$D$3*H80)</f>
        <v>7.55971807282772</v>
      </c>
      <c r="J80" s="31">
        <f t="shared" si="6"/>
        <v>1.02578246636016</v>
      </c>
      <c r="K80" s="31">
        <f t="shared" si="3"/>
        <v>52</v>
      </c>
      <c r="L80" s="31">
        <f>IF(K80=" "," ",($L$26-$D$3*$F$12)*((K80/$F$12)-($C$18/(PI()))*SIN((PI()*K80)/$F$12))+$D$3*K80)</f>
        <v>6.8132398676275</v>
      </c>
      <c r="M80" s="31">
        <f t="shared" si="7"/>
        <v>1.01756782812295</v>
      </c>
    </row>
    <row r="81" spans="1:13">
      <c r="A81" s="31">
        <f t="shared" si="0"/>
        <v>53</v>
      </c>
      <c r="B81" s="31">
        <f>IF(A81=" "," ",($B$26-$B$3*($F$9))*((A81/($F$9))-($C$18/(PI()))*SIN((PI()*A81)/($F$9)))+$B$3*A81)</f>
        <v>7.02136688921601</v>
      </c>
      <c r="C81" s="31">
        <f t="shared" si="4"/>
        <v>1.01629242864272</v>
      </c>
      <c r="D81" s="31">
        <f t="shared" si="1"/>
        <v>53</v>
      </c>
      <c r="E81" s="31">
        <f>IF(D81=" "," ",($E$26-$B$3*($F$8))*((D81/($F$8))-($C$18/(PI()))*SIN((PI()*D81)/($F$8)))+$B$3*D81)</f>
        <v>7.02136688921601</v>
      </c>
      <c r="F81" s="31">
        <f t="shared" si="5"/>
        <v>1.01629242864272</v>
      </c>
      <c r="G81" s="31"/>
      <c r="H81" s="31">
        <f t="shared" si="2"/>
        <v>53</v>
      </c>
      <c r="I81" s="31">
        <f>IF(H81=" "," ",($I$26-$D$3*$F$13)*((H81/$F$13)-($C$18/(PI()))*SIN((PI()*H81)/$F$13))+$D$3*H81)</f>
        <v>7.93304984128844</v>
      </c>
      <c r="J81" s="31">
        <f t="shared" si="6"/>
        <v>1.02472798432196</v>
      </c>
      <c r="K81" s="31">
        <f t="shared" si="3"/>
        <v>53</v>
      </c>
      <c r="L81" s="31">
        <f>IF(K81=" "," ",($L$26-$D$3*$F$12)*((K81/$F$12)-($C$18/(PI()))*SIN((PI()*K81)/$F$12))+$D$3*K81)</f>
        <v>7.11969128942817</v>
      </c>
      <c r="M81" s="31">
        <f t="shared" si="7"/>
        <v>1.01629693534712</v>
      </c>
    </row>
    <row r="82" spans="1:13">
      <c r="A82" s="31">
        <f t="shared" si="0"/>
        <v>54</v>
      </c>
      <c r="B82" s="31">
        <f>IF(A82=" "," ",($B$26-$B$3*($F$9))*((A82/($F$9))-($C$18/(PI()))*SIN((PI()*A82)/($F$9)))+$B$3*A82)</f>
        <v>7.32802555792413</v>
      </c>
      <c r="C82" s="31">
        <f t="shared" si="4"/>
        <v>1.01504310735589</v>
      </c>
      <c r="D82" s="31">
        <f t="shared" si="1"/>
        <v>54</v>
      </c>
      <c r="E82" s="31">
        <f>IF(D82=" "," ",($E$26-$B$3*($F$8))*((D82/($F$8))-($C$18/(PI()))*SIN((PI()*D82)/($F$8)))+$B$3*D82)</f>
        <v>7.32802555792413</v>
      </c>
      <c r="F82" s="31">
        <f t="shared" si="5"/>
        <v>1.01504310735589</v>
      </c>
      <c r="G82" s="31"/>
      <c r="H82" s="31">
        <f t="shared" si="2"/>
        <v>54</v>
      </c>
      <c r="I82" s="31">
        <f>IF(H82=" "," ",($I$26-$D$3*$F$13)*((H82/$F$13)-($C$18/(PI()))*SIN((PI()*H82)/$F$13))+$D$3*H82)</f>
        <v>8.31522927579128</v>
      </c>
      <c r="J82" s="31">
        <f t="shared" si="6"/>
        <v>1.02369920480811</v>
      </c>
      <c r="K82" s="31">
        <f t="shared" si="3"/>
        <v>54</v>
      </c>
      <c r="L82" s="31">
        <f>IF(K82=" "," ",($L$26-$D$3*$F$12)*((K82/$F$12)-($C$18/(PI()))*SIN((PI()*K82)/$F$12))+$D$3*K82)</f>
        <v>7.43075394760082</v>
      </c>
      <c r="M82" s="31">
        <f t="shared" si="7"/>
        <v>1.01504720175509</v>
      </c>
    </row>
    <row r="83" spans="1:13">
      <c r="A83" s="31">
        <f t="shared" si="0"/>
        <v>55</v>
      </c>
      <c r="B83" s="31">
        <f>IF(A83=" "," ",($B$26-$B$3*($F$9))*((A83/($F$9))-($C$18/(PI()))*SIN((PI()*A83)/($F$9)))+$B$3*A83)</f>
        <v>7.63892013484639</v>
      </c>
      <c r="C83" s="31">
        <f t="shared" si="4"/>
        <v>1.01381310442643</v>
      </c>
      <c r="D83" s="31">
        <f t="shared" si="1"/>
        <v>55</v>
      </c>
      <c r="E83" s="31">
        <f>IF(D83=" "," ",($E$26-$B$3*($F$8))*((D83/($F$8))-($C$18/(PI()))*SIN((PI()*D83)/($F$8)))+$B$3*D83)</f>
        <v>7.63892013484639</v>
      </c>
      <c r="F83" s="31">
        <f t="shared" si="5"/>
        <v>1.01381310442643</v>
      </c>
      <c r="G83" s="31"/>
      <c r="H83" s="31">
        <f t="shared" si="2"/>
        <v>55</v>
      </c>
      <c r="I83" s="31">
        <f>IF(H83=" "," ",($I$26-$D$3*$F$13)*((H83/$F$13)-($C$18/(PI()))*SIN((PI()*H83)/$F$13))+$D$3*H83)</f>
        <v>8.70608208872248</v>
      </c>
      <c r="J83" s="31">
        <f t="shared" si="6"/>
        <v>1.02269451897546</v>
      </c>
      <c r="K83" s="31">
        <f t="shared" si="3"/>
        <v>55</v>
      </c>
      <c r="L83" s="31">
        <f>IF(K83=" "," ",($L$26-$D$3*$F$12)*((K83/$F$12)-($C$18/(PI()))*SIN((PI()*K83)/$F$12))+$D$3*K83)</f>
        <v>7.74611449889478</v>
      </c>
      <c r="M83" s="31">
        <f t="shared" si="7"/>
        <v>1.01381680831306</v>
      </c>
    </row>
    <row r="84" spans="1:13">
      <c r="A84" s="31">
        <f t="shared" si="0"/>
        <v>56</v>
      </c>
      <c r="B84" s="31">
        <f>IF(A84=" "," ",($B$26-$B$3*($F$9))*((A84/($F$9))-($C$18/(PI()))*SIN((PI()*A84)/($F$9)))+$B$3*A84)</f>
        <v>7.95373220012448</v>
      </c>
      <c r="C84" s="31">
        <f t="shared" si="4"/>
        <v>1.01260069697776</v>
      </c>
      <c r="D84" s="31">
        <f t="shared" si="1"/>
        <v>56</v>
      </c>
      <c r="E84" s="31">
        <f>IF(D84=" "," ",($E$26-$B$3*($F$8))*((D84/($F$8))-($C$18/(PI()))*SIN((PI()*D84)/($F$8)))+$B$3*D84)</f>
        <v>7.95373220012448</v>
      </c>
      <c r="F84" s="31">
        <f t="shared" si="5"/>
        <v>1.01260069697776</v>
      </c>
      <c r="G84" s="31"/>
      <c r="H84" s="31">
        <f t="shared" si="2"/>
        <v>56</v>
      </c>
      <c r="I84" s="31">
        <f>IF(H84=" "," ",($I$26-$D$3*$F$13)*((H84/$F$13)-($C$18/(PI()))*SIN((PI()*H84)/$F$13))+$D$3*H84)</f>
        <v>9.10542126308936</v>
      </c>
      <c r="J84" s="31">
        <f t="shared" si="6"/>
        <v>1.02171242256655</v>
      </c>
      <c r="K84" s="31">
        <f t="shared" si="3"/>
        <v>56</v>
      </c>
      <c r="L84" s="31">
        <f>IF(K84=" "," ",($L$26-$D$3*$F$12)*((K84/$F$12)-($C$18/(PI()))*SIN((PI()*K84)/$F$12))+$D$3*K84)</f>
        <v>8.06544986394915</v>
      </c>
      <c r="M84" s="31">
        <f t="shared" si="7"/>
        <v>1.01260402971805</v>
      </c>
    </row>
    <row r="85" spans="1:13">
      <c r="A85" s="31">
        <f t="shared" si="0"/>
        <v>57</v>
      </c>
      <c r="B85" s="31">
        <f>IF(A85=" "," ",($B$26-$B$3*($F$9))*((A85/($F$9))-($C$18/(PI()))*SIN((PI()*A85)/($F$9)))+$B$3*A85)</f>
        <v>8.27213445952896</v>
      </c>
      <c r="C85" s="31">
        <f t="shared" si="4"/>
        <v>1.01140424565121</v>
      </c>
      <c r="D85" s="31">
        <f t="shared" si="1"/>
        <v>57</v>
      </c>
      <c r="E85" s="31">
        <f>IF(D85=" "," ",($E$26-$B$3*($F$8))*((D85/($F$8))-($C$18/(PI()))*SIN((PI()*D85)/($F$8)))+$B$3*D85)</f>
        <v>8.27213445952896</v>
      </c>
      <c r="F85" s="31">
        <f t="shared" si="5"/>
        <v>1.01140424565121</v>
      </c>
      <c r="G85" s="31"/>
      <c r="H85" s="31">
        <f t="shared" si="2"/>
        <v>57</v>
      </c>
      <c r="I85" s="31">
        <f>IF(H85=" "," ",($I$26-$D$3*$F$13)*((H85/$F$13)-($C$18/(PI()))*SIN((PI()*H85)/$F$13))+$D$3*H85)</f>
        <v>9.51304732699361</v>
      </c>
      <c r="J85" s="31">
        <f t="shared" si="6"/>
        <v>1.02075150666222</v>
      </c>
      <c r="K85" s="31">
        <f t="shared" si="3"/>
        <v>57</v>
      </c>
      <c r="L85" s="31">
        <f>IF(K85=" "," ",($L$26-$D$3*$F$12)*((K85/$F$12)-($C$18/(PI()))*SIN((PI()*K85)/$F$12))+$D$3*K85)</f>
        <v>8.38842795917143</v>
      </c>
      <c r="M85" s="31">
        <f t="shared" si="7"/>
        <v>1.01140722439958</v>
      </c>
    </row>
    <row r="86" spans="1:13">
      <c r="A86" s="31">
        <f t="shared" si="0"/>
        <v>58</v>
      </c>
      <c r="B86" s="31">
        <f>IF(A86=" "," ",($B$26-$B$3*($F$9))*((A86/($F$9))-($C$18/(PI()))*SIN((PI()*A86)/($F$9)))+$B$3*A86)</f>
        <v>8.59379148588599</v>
      </c>
      <c r="C86" s="31">
        <f t="shared" si="4"/>
        <v>1.01022218547893</v>
      </c>
      <c r="D86" s="31">
        <f t="shared" si="1"/>
        <v>58</v>
      </c>
      <c r="E86" s="31">
        <f>IF(D86=" "," ",($E$26-$B$3*($F$8))*((D86/($F$8))-($C$18/(PI()))*SIN((PI()*D86)/($F$8)))+$B$3*D86)</f>
        <v>8.59379148588599</v>
      </c>
      <c r="F86" s="31">
        <f t="shared" si="5"/>
        <v>1.01022218547893</v>
      </c>
      <c r="G86" s="31"/>
      <c r="H86" s="31">
        <f t="shared" si="2"/>
        <v>58</v>
      </c>
      <c r="I86" s="31">
        <f>IF(H86=" "," ",($I$26-$D$3*$F$13)*((H86/$F$13)-($C$18/(PI()))*SIN((PI()*H86)/$F$13))+$D$3*H86)</f>
        <v>9.92874864638374</v>
      </c>
      <c r="J86" s="31">
        <f t="shared" si="6"/>
        <v>1.01981044933327</v>
      </c>
      <c r="K86" s="31">
        <f t="shared" si="3"/>
        <v>58</v>
      </c>
      <c r="L86" s="31">
        <f>IF(K86=" "," ",($L$26-$D$3*$F$12)*((K86/$F$12)-($C$18/(PI()))*SIN((PI()*K86)/$F$12))+$D$3*K86)</f>
        <v>8.71470844901362</v>
      </c>
      <c r="M86" s="31">
        <f t="shared" si="7"/>
        <v>1.01022482536362</v>
      </c>
    </row>
    <row r="87" spans="1:13">
      <c r="A87" s="31">
        <f t="shared" si="0"/>
        <v>59</v>
      </c>
      <c r="B87" s="31">
        <f>IF(A87=" "," ",($B$26-$B$3*($F$9))*((A87/($F$9))-($C$18/(PI()))*SIN((PI()*A87)/($F$9)))+$B$3*A87)</f>
        <v>8.91836047892771</v>
      </c>
      <c r="C87" s="31">
        <f t="shared" si="4"/>
        <v>1.00905301748783</v>
      </c>
      <c r="D87" s="31">
        <f t="shared" si="1"/>
        <v>59</v>
      </c>
      <c r="E87" s="31">
        <f>IF(D87=" "," ",($E$26-$B$3*($F$8))*((D87/($F$8))-($C$18/(PI()))*SIN((PI()*D87)/($F$8)))+$B$3*D87)</f>
        <v>8.91836047892771</v>
      </c>
      <c r="F87" s="31">
        <f t="shared" si="5"/>
        <v>1.00905301748783</v>
      </c>
      <c r="G87" s="31"/>
      <c r="H87" s="31">
        <f t="shared" si="2"/>
        <v>59</v>
      </c>
      <c r="I87" s="31">
        <f>IF(H87=" "," ",($I$26-$D$3*$F$13)*((H87/$F$13)-($C$18/(PI()))*SIN((PI()*H87)/$F$13))+$D$3*H87)</f>
        <v>10.3523017356573</v>
      </c>
      <c r="J87" s="31">
        <f t="shared" si="6"/>
        <v>1.01888800808943</v>
      </c>
      <c r="K87" s="31">
        <f t="shared" si="3"/>
        <v>59</v>
      </c>
      <c r="L87" s="31">
        <f>IF(K87=" "," ",($L$26-$D$3*$F$12)*((K87/$F$12)-($C$18/(PI()))*SIN((PI()*K87)/$F$12))+$D$3*K87)</f>
        <v>9.04394351694178</v>
      </c>
      <c r="M87" s="31">
        <f t="shared" si="7"/>
        <v>1.00905533177114</v>
      </c>
    </row>
    <row r="88" spans="1:13">
      <c r="A88" s="31">
        <f t="shared" si="0"/>
        <v>60</v>
      </c>
      <c r="B88" s="31">
        <f>IF(A88=" "," ",($B$26-$B$3*($F$9))*((A88/($F$9))-($C$18/(PI()))*SIN((PI()*A88)/($F$9)))+$B$3*A88)</f>
        <v>9.24549204184515</v>
      </c>
      <c r="C88" s="31">
        <f t="shared" si="4"/>
        <v>1.00789530093958</v>
      </c>
      <c r="D88" s="31">
        <f t="shared" si="1"/>
        <v>60</v>
      </c>
      <c r="E88" s="31">
        <f>IF(D88=" "," ",($E$26-$B$3*($F$8))*((D88/($F$8))-($C$18/(PI()))*SIN((PI()*D88)/($F$8)))+$B$3*D88)</f>
        <v>9.24549204184515</v>
      </c>
      <c r="F88" s="31">
        <f t="shared" si="5"/>
        <v>1.00789530093958</v>
      </c>
      <c r="G88" s="31"/>
      <c r="H88" s="31">
        <f t="shared" si="2"/>
        <v>60</v>
      </c>
      <c r="I88" s="31">
        <f>IF(H88=" "," ",($I$26-$D$3*$F$13)*((H88/$F$13)-($C$18/(PI()))*SIN((PI()*H88)/$F$13))+$D$3*H88)</f>
        <v>10.7834715856568</v>
      </c>
      <c r="J88" s="31">
        <f t="shared" si="6"/>
        <v>1.01798301303617</v>
      </c>
      <c r="K88" s="31">
        <f t="shared" si="3"/>
        <v>60</v>
      </c>
      <c r="L88" s="31">
        <f>IF(K88=" "," ",($L$26-$D$3*$F$12)*((K88/$F$12)-($C$18/(PI()))*SIN((PI()*K88)/$F$12))+$D$3*K88)</f>
        <v>9.37577865335231</v>
      </c>
      <c r="M88" s="31">
        <f t="shared" si="7"/>
        <v>1.00789730115546</v>
      </c>
    </row>
    <row r="89" spans="1:13">
      <c r="A89" s="31">
        <f t="shared" si="0"/>
        <v>61</v>
      </c>
      <c r="B89" s="31">
        <f>IF(A89=" "," ",($B$26-$B$3*($F$9))*((A89/($F$9))-($C$18/(PI()))*SIN((PI()*A89)/($F$9)))+$B$3*A89)</f>
        <v>9.57483097278435</v>
      </c>
      <c r="C89" s="31">
        <f t="shared" si="4"/>
        <v>1.00674764612158</v>
      </c>
      <c r="D89" s="31">
        <f t="shared" si="1"/>
        <v>61</v>
      </c>
      <c r="E89" s="31">
        <f>IF(D89=" "," ",($E$26-$B$3*($F$8))*((D89/($F$8))-($C$18/(PI()))*SIN((PI()*D89)/($F$8)))+$B$3*D89)</f>
        <v>9.57483097278435</v>
      </c>
      <c r="F89" s="31">
        <f t="shared" si="5"/>
        <v>1.00674764612158</v>
      </c>
      <c r="G89" s="31"/>
      <c r="H89" s="31">
        <f t="shared" si="2"/>
        <v>61</v>
      </c>
      <c r="I89" s="31">
        <f>IF(H89=" "," ",($I$26-$D$3*$F$13)*((H89/$F$13)-($C$18/(PI()))*SIN((PI()*H89)/$F$13))+$D$3*H89)</f>
        <v>11.222012008578</v>
      </c>
      <c r="J89" s="31">
        <f t="shared" si="6"/>
        <v>1.0170943606602</v>
      </c>
      <c r="K89" s="31">
        <f t="shared" si="3"/>
        <v>61</v>
      </c>
      <c r="L89" s="31">
        <f>IF(K89=" "," ",($L$26-$D$3*$F$12)*((K89/$F$12)-($C$18/(PI()))*SIN((PI()*K89)/$F$12))+$D$3*K89)</f>
        <v>9.70985345865022</v>
      </c>
      <c r="M89" s="31">
        <f t="shared" si="7"/>
        <v>1.00674934219325</v>
      </c>
    </row>
    <row r="90" spans="1:13">
      <c r="A90" s="31">
        <f t="shared" si="0"/>
        <v>62</v>
      </c>
      <c r="B90" s="31">
        <f>IF(A90=" "," ",($B$26-$B$3*($F$9))*((A90/($F$9))-($C$18/(PI()))*SIN((PI()*A90)/($F$9)))+$B$3*A90)</f>
        <v>9.90601706949284</v>
      </c>
      <c r="C90" s="31">
        <f t="shared" si="4"/>
        <v>1.0056087076132</v>
      </c>
      <c r="D90" s="31">
        <f t="shared" si="1"/>
        <v>62</v>
      </c>
      <c r="E90" s="31">
        <f>IF(D90=" "," ",($E$26-$B$3*($F$8))*((D90/($F$8))-($C$18/(PI()))*SIN((PI()*D90)/($F$8)))+$B$3*D90)</f>
        <v>9.90601706949284</v>
      </c>
      <c r="F90" s="31">
        <f t="shared" si="5"/>
        <v>1.0056087076132</v>
      </c>
      <c r="G90" s="31"/>
      <c r="H90" s="31">
        <f t="shared" si="2"/>
        <v>62</v>
      </c>
      <c r="I90" s="31">
        <f>IF(H90=" "," ",($I$26-$D$3*$F$13)*((H90/$F$13)-($C$18/(PI()))*SIN((PI()*H90)/$F$13))+$D$3*H90)</f>
        <v>11.6676659992845</v>
      </c>
      <c r="J90" s="31">
        <f t="shared" si="6"/>
        <v>1.01622100817515</v>
      </c>
      <c r="K90" s="31">
        <f t="shared" si="3"/>
        <v>62</v>
      </c>
      <c r="L90" s="31">
        <f>IF(K90=" "," ",($L$26-$D$3*$F$12)*((K90/$F$12)-($C$18/(PI()))*SIN((PI()*K90)/$F$12))+$D$3*K90)</f>
        <v>10.0458024596701</v>
      </c>
      <c r="M90" s="31">
        <f t="shared" si="7"/>
        <v>1.00561010795272</v>
      </c>
    </row>
    <row r="91" spans="1:13">
      <c r="A91" s="31">
        <f t="shared" si="0"/>
        <v>63</v>
      </c>
      <c r="B91" s="31">
        <f>IF(A91=" "," ",($B$26-$B$3*($F$9))*((A91/($F$9))-($C$18/(PI()))*SIN((PI()*A91)/($F$9)))+$B$3*A91)</f>
        <v>10.2386859452935</v>
      </c>
      <c r="C91" s="31">
        <f t="shared" si="4"/>
        <v>1.00447717795811</v>
      </c>
      <c r="D91" s="31">
        <f t="shared" si="1"/>
        <v>63</v>
      </c>
      <c r="E91" s="31">
        <f>IF(D91=" "," ",($E$26-$B$3*($F$8))*((D91/($F$8))-($C$18/(PI()))*SIN((PI()*D91)/($F$8)))+$B$3*D91)</f>
        <v>10.2386859452935</v>
      </c>
      <c r="F91" s="31">
        <f t="shared" si="5"/>
        <v>1.00447717795811</v>
      </c>
      <c r="G91" s="31"/>
      <c r="H91" s="31">
        <f t="shared" si="2"/>
        <v>63</v>
      </c>
      <c r="I91" s="31">
        <f>IF(H91=" "," ",($I$26-$D$3*$F$13)*((H91/$F$13)-($C$18/(PI()))*SIN((PI()*H91)/$F$13))+$D$3*H91)</f>
        <v>12.1201661124983</v>
      </c>
      <c r="J91" s="31">
        <f t="shared" si="6"/>
        <v>1.01536196836571</v>
      </c>
      <c r="K91" s="31">
        <f t="shared" si="3"/>
        <v>63</v>
      </c>
      <c r="L91" s="31">
        <f>IF(K91=" "," ",($L$26-$D$3*$F$12)*((K91/$F$12)-($C$18/(PI()))*SIN((PI()*K91)/$F$12))+$D$3*K91)</f>
        <v>10.3832559375906</v>
      </c>
      <c r="M91" s="31">
        <f t="shared" si="7"/>
        <v>1.00447828954975</v>
      </c>
    </row>
    <row r="92" spans="1:13">
      <c r="A92" s="31">
        <f t="shared" si="0"/>
        <v>64</v>
      </c>
      <c r="B92" s="31">
        <f>IF(A92=" "," ",($B$26-$B$3*($F$9))*((A92/($F$9))-($C$18/(PI()))*SIN((PI()*A92)/($F$9)))+$B$3*A92)</f>
        <v>10.5724698545378</v>
      </c>
      <c r="C92" s="31">
        <f t="shared" si="4"/>
        <v>1.00335178168054</v>
      </c>
      <c r="D92" s="31">
        <f t="shared" si="1"/>
        <v>64</v>
      </c>
      <c r="E92" s="31">
        <f>IF(D92=" "," ",($E$26-$B$3*($F$8))*((D92/($F$8))-($C$18/(PI()))*SIN((PI()*D92)/($F$8)))+$B$3*D92)</f>
        <v>10.5724698545378</v>
      </c>
      <c r="F92" s="31">
        <f t="shared" si="5"/>
        <v>1.00335178168054</v>
      </c>
      <c r="G92" s="31"/>
      <c r="H92" s="31">
        <f t="shared" si="2"/>
        <v>64</v>
      </c>
      <c r="I92" s="31">
        <f>IF(H92=" "," ",($I$26-$D$3*$F$13)*((H92/$F$13)-($C$18/(PI()))*SIN((PI()*H92)/$F$13))+$D$3*H92)</f>
        <v>12.5792348553125</v>
      </c>
      <c r="J92" s="31">
        <f t="shared" si="6"/>
        <v>1.01451630487725</v>
      </c>
      <c r="K92" s="31">
        <f t="shared" si="3"/>
        <v>64</v>
      </c>
      <c r="L92" s="31">
        <f>IF(K92=" "," ",($L$26-$D$3*$F$12)*((K92/$F$12)-($C$18/(PI()))*SIN((PI()*K92)/$F$12))+$D$3*K92)</f>
        <v>10.721840765466</v>
      </c>
      <c r="M92" s="31">
        <f t="shared" si="7"/>
        <v>1.0033526101492</v>
      </c>
    </row>
    <row r="93" spans="1:13">
      <c r="A93" s="31">
        <f t="shared" ref="A93:A156" si="8">IF(($F$9)-ROW(A65)&gt;=0,($F$9)-(($F$9)-ROW(A65))," ")</f>
        <v>65</v>
      </c>
      <c r="B93" s="31">
        <f>IF(A93=" "," ",($B$26-$B$3*($F$9))*((A93/($F$9))-($C$18/(PI()))*SIN((PI()*A93)/($F$9)))+$B$3*A93)</f>
        <v>10.9069985256677</v>
      </c>
      <c r="C93" s="31">
        <f t="shared" si="4"/>
        <v>1.00223126958778</v>
      </c>
      <c r="D93" s="31">
        <f t="shared" ref="D93:D156" si="9">IF(($F$8)-ROW(D65)&gt;=0,($F$8)-(($F$8)-ROW(D65))," ")</f>
        <v>65</v>
      </c>
      <c r="E93" s="31">
        <f>IF(D93=" "," ",($E$26-$B$3*($F$8))*((D93/($F$8))-($C$18/(PI()))*SIN((PI()*D93)/($F$8)))+$B$3*D93)</f>
        <v>10.9069985256677</v>
      </c>
      <c r="F93" s="31">
        <f t="shared" si="5"/>
        <v>1.00223126958778</v>
      </c>
      <c r="G93" s="31"/>
      <c r="H93" s="31">
        <f t="shared" ref="H93:H156" si="10">IF($F$13-ROW(H65)&gt;=0,$F$13-($F$13-ROW(H65))," ")</f>
        <v>65</v>
      </c>
      <c r="I93" s="31">
        <f>IF(H93=" "," ",($I$26-$D$3*$F$13)*((H93/$F$13)-($C$18/(PI()))*SIN((PI()*H93)/$F$13))+$D$3*H93)</f>
        <v>13.0445850944505</v>
      </c>
      <c r="J93" s="31">
        <f t="shared" si="6"/>
        <v>1.01368312790204</v>
      </c>
      <c r="K93" s="31">
        <f t="shared" ref="K93:K156" si="11">IF($F$12-ROW(K65)&gt;=0,$F$12-($F$12-ROW(K65))," ")</f>
        <v>65</v>
      </c>
      <c r="L93" s="31">
        <f>IF(K93=" "," ",($L$26-$D$3*$F$12)*((K93/$F$12)-($C$18/(PI()))*SIN((PI()*K93)/$F$12))+$D$3*K93)</f>
        <v>11.0611812534792</v>
      </c>
      <c r="M93" s="31">
        <f t="shared" si="7"/>
        <v>1.00223181925371</v>
      </c>
    </row>
    <row r="94" spans="1:13">
      <c r="A94" s="31">
        <f t="shared" si="8"/>
        <v>66</v>
      </c>
      <c r="B94" s="31">
        <f>IF(A94=" "," ",($B$26-$B$3*($F$9))*((A94/($F$9))-($C$18/(PI()))*SIN((PI()*A94)/($F$9)))+$B$3*A94)</f>
        <v>11.2419</v>
      </c>
      <c r="C94" s="31">
        <f t="shared" ref="C94:C157" si="12">IF(A94=" "," ",(B94-B93)/(B93-B92))</f>
        <v>1.0011144133061</v>
      </c>
      <c r="D94" s="31">
        <f t="shared" si="9"/>
        <v>66</v>
      </c>
      <c r="E94" s="31">
        <f>IF(D94=" "," ",($E$26-$B$3*($F$8))*((D94/($F$8))-($C$18/(PI()))*SIN((PI()*D94)/($F$8)))+$B$3*D94)</f>
        <v>11.2419</v>
      </c>
      <c r="F94" s="31">
        <f t="shared" ref="F94:F157" si="13">IF(D94=" "," ",(E94-E93)/(E93-E92))</f>
        <v>1.0011144133061</v>
      </c>
      <c r="G94" s="31"/>
      <c r="H94" s="31">
        <f t="shared" si="10"/>
        <v>66</v>
      </c>
      <c r="I94" s="31">
        <f>IF(H94=" "," ",($I$26-$D$3*$F$13)*((H94/$F$13)-($C$18/(PI()))*SIN((PI()*H94)/$F$13))+$D$3*H94)</f>
        <v>13.5159204776735</v>
      </c>
      <c r="J94" s="31">
        <f t="shared" ref="J94:J157" si="14">IF(H94=" "," ",(I94-I93)/(I93-I92))</f>
        <v>1.01286159022108</v>
      </c>
      <c r="K94" s="31">
        <f t="shared" si="11"/>
        <v>66</v>
      </c>
      <c r="L94" s="31">
        <f>IF(K94=" "," ",($L$26-$D$3*$F$12)*((K94/$F$12)-($C$18/(PI()))*SIN((PI()*K94)/$F$12))+$D$3*K94)</f>
        <v>11.4009</v>
      </c>
      <c r="M94" s="31">
        <f t="shared" ref="M94:M157" si="15">IF(K94=" "," ",(L94-L93)/(L93-L92))</f>
        <v>1.00111468722682</v>
      </c>
    </row>
    <row r="95" spans="1:13">
      <c r="A95" s="31" t="str">
        <f t="shared" si="8"/>
        <v> </v>
      </c>
      <c r="B95" s="31" t="str">
        <f>IF(A95=" "," ",($B$26-$B$3*($F$9))*((A95/($F$9))-($C$18/(PI()))*SIN((PI()*A95)/($F$9)))+$B$3*A95)</f>
        <v> </v>
      </c>
      <c r="C95" s="31" t="str">
        <f t="shared" si="12"/>
        <v> </v>
      </c>
      <c r="D95" s="31" t="str">
        <f t="shared" si="9"/>
        <v> </v>
      </c>
      <c r="E95" s="31" t="str">
        <f>IF(D95=" "," ",($E$26-$B$3*($F$8))*((D95/($F$8))-($C$18/(PI()))*SIN((PI()*D95)/($F$8)))+$B$3*D95)</f>
        <v> </v>
      </c>
      <c r="F95" s="31" t="str">
        <f t="shared" si="13"/>
        <v> </v>
      </c>
      <c r="G95" s="31"/>
      <c r="H95" s="31">
        <f t="shared" si="10"/>
        <v>67</v>
      </c>
      <c r="I95" s="31">
        <f>IF(H95=" "," ",($I$26-$D$3*$F$13)*((H95/$F$13)-($C$18/(PI()))*SIN((PI()*H95)/$F$13))+$D$3*H95)</f>
        <v>13.9929358687186</v>
      </c>
      <c r="J95" s="31">
        <f t="shared" si="14"/>
        <v>1.01205088356244</v>
      </c>
      <c r="K95" s="31" t="str">
        <f t="shared" si="11"/>
        <v> </v>
      </c>
      <c r="L95" s="31" t="str">
        <f>IF(K95=" "," ",($L$26-$D$3*$F$12)*((K95/$F$12)-($C$18/(PI()))*SIN((PI()*K95)/$F$12))+$D$3*K95)</f>
        <v> </v>
      </c>
      <c r="M95" s="31" t="str">
        <f t="shared" si="15"/>
        <v> </v>
      </c>
    </row>
    <row r="96" spans="1:13">
      <c r="A96" s="31" t="str">
        <f t="shared" si="8"/>
        <v> </v>
      </c>
      <c r="B96" s="31" t="str">
        <f>IF(A96=" "," ",($B$26-$B$3*($F$9))*((A96/($F$9))-($C$18/(PI()))*SIN((PI()*A96)/($F$9)))+$B$3*A96)</f>
        <v> </v>
      </c>
      <c r="C96" s="31" t="str">
        <f t="shared" si="12"/>
        <v> </v>
      </c>
      <c r="D96" s="31" t="str">
        <f t="shared" si="9"/>
        <v> </v>
      </c>
      <c r="E96" s="31" t="str">
        <f>IF(D96=" "," ",($E$26-$B$3*($F$8))*((D96/($F$8))-($C$18/(PI()))*SIN((PI()*D96)/($F$8)))+$B$3*D96)</f>
        <v> </v>
      </c>
      <c r="F96" s="31" t="str">
        <f t="shared" si="13"/>
        <v> </v>
      </c>
      <c r="G96" s="31"/>
      <c r="H96" s="31">
        <f t="shared" si="10"/>
        <v>68</v>
      </c>
      <c r="I96" s="31">
        <f>IF(H96=" "," ",($I$26-$D$3*$F$13)*((H96/$F$13)-($C$18/(PI()))*SIN((PI()*H96)/$F$13))+$D$3*H96)</f>
        <v>14.4753177951281</v>
      </c>
      <c r="J96" s="31">
        <f t="shared" si="14"/>
        <v>1.01125023524419</v>
      </c>
      <c r="K96" s="31" t="str">
        <f t="shared" si="11"/>
        <v> </v>
      </c>
      <c r="L96" s="31" t="str">
        <f>IF(K96=" "," ",($L$26-$D$3*$F$12)*((K96/$F$12)-($C$18/(PI()))*SIN((PI()*K96)/$F$12))+$D$3*K96)</f>
        <v> </v>
      </c>
      <c r="M96" s="31" t="str">
        <f t="shared" si="15"/>
        <v> </v>
      </c>
    </row>
    <row r="97" spans="1:13">
      <c r="A97" s="31" t="str">
        <f t="shared" si="8"/>
        <v> </v>
      </c>
      <c r="B97" s="31" t="str">
        <f>IF(A97=" "," ",($B$26-$B$3*($F$9))*((A97/($F$9))-($C$18/(PI()))*SIN((PI()*A97)/($F$9)))+$B$3*A97)</f>
        <v> </v>
      </c>
      <c r="C97" s="31" t="str">
        <f t="shared" si="12"/>
        <v> </v>
      </c>
      <c r="D97" s="31" t="str">
        <f t="shared" si="9"/>
        <v> </v>
      </c>
      <c r="E97" s="31" t="str">
        <f>IF(D97=" "," ",($E$26-$B$3*($F$8))*((D97/($F$8))-($C$18/(PI()))*SIN((PI()*D97)/($F$8)))+$B$3*D97)</f>
        <v> </v>
      </c>
      <c r="F97" s="31" t="str">
        <f t="shared" si="13"/>
        <v> </v>
      </c>
      <c r="G97" s="31"/>
      <c r="H97" s="31">
        <f t="shared" si="10"/>
        <v>69</v>
      </c>
      <c r="I97" s="31">
        <f>IF(H97=" "," ",($I$26-$D$3*$F$13)*((H97/$F$13)-($C$18/(PI()))*SIN((PI()*H97)/$F$13))+$D$3*H97)</f>
        <v>14.9627449083135</v>
      </c>
      <c r="J97" s="31">
        <f t="shared" si="14"/>
        <v>1.01045890507031</v>
      </c>
      <c r="K97" s="31" t="str">
        <f t="shared" si="11"/>
        <v> </v>
      </c>
      <c r="L97" s="31" t="str">
        <f>IF(K97=" "," ",($L$26-$D$3*$F$12)*((K97/$F$12)-($C$18/(PI()))*SIN((PI()*K97)/$F$12))+$D$3*K97)</f>
        <v> </v>
      </c>
      <c r="M97" s="31" t="str">
        <f t="shared" si="15"/>
        <v> </v>
      </c>
    </row>
    <row r="98" spans="1:13">
      <c r="A98" s="31" t="str">
        <f t="shared" si="8"/>
        <v> </v>
      </c>
      <c r="B98" s="31" t="str">
        <f>IF(A98=" "," ",($B$26-$B$3*($F$9))*((A98/($F$9))-($C$18/(PI()))*SIN((PI()*A98)/($F$9)))+$B$3*A98)</f>
        <v> </v>
      </c>
      <c r="C98" s="31" t="str">
        <f t="shared" si="12"/>
        <v> </v>
      </c>
      <c r="D98" s="31" t="str">
        <f t="shared" si="9"/>
        <v> </v>
      </c>
      <c r="E98" s="31" t="str">
        <f>IF(D98=" "," ",($E$26-$B$3*($F$8))*((D98/($F$8))-($C$18/(PI()))*SIN((PI()*D98)/($F$8)))+$B$3*D98)</f>
        <v> </v>
      </c>
      <c r="F98" s="31" t="str">
        <f t="shared" si="13"/>
        <v> </v>
      </c>
      <c r="G98" s="31"/>
      <c r="H98" s="31">
        <f t="shared" si="10"/>
        <v>70</v>
      </c>
      <c r="I98" s="31">
        <f>IF(H98=" "," ",($I$26-$D$3*$F$13)*((H98/$F$13)-($C$18/(PI()))*SIN((PI()*H98)/$F$13))+$D$3*H98)</f>
        <v>15.4548884551791</v>
      </c>
      <c r="J98" s="31">
        <f t="shared" si="14"/>
        <v>1.00967618245401</v>
      </c>
      <c r="K98" s="31" t="str">
        <f t="shared" si="11"/>
        <v> </v>
      </c>
      <c r="L98" s="31" t="str">
        <f>IF(K98=" "," ",($L$26-$D$3*$F$12)*((K98/$F$12)-($C$18/(PI()))*SIN((PI()*K98)/$F$12))+$D$3*K98)</f>
        <v> </v>
      </c>
      <c r="M98" s="31" t="str">
        <f t="shared" si="15"/>
        <v> </v>
      </c>
    </row>
    <row r="99" spans="1:13">
      <c r="A99" s="31" t="str">
        <f t="shared" si="8"/>
        <v> </v>
      </c>
      <c r="B99" s="31" t="str">
        <f>IF(A99=" "," ",($B$26-$B$3*($F$9))*((A99/($F$9))-($C$18/(PI()))*SIN((PI()*A99)/($F$9)))+$B$3*A99)</f>
        <v> </v>
      </c>
      <c r="C99" s="31" t="str">
        <f t="shared" si="12"/>
        <v> </v>
      </c>
      <c r="D99" s="31" t="str">
        <f t="shared" si="9"/>
        <v> </v>
      </c>
      <c r="E99" s="31" t="str">
        <f>IF(D99=" "," ",($E$26-$B$3*($F$8))*((D99/($F$8))-($C$18/(PI()))*SIN((PI()*D99)/($F$8)))+$B$3*D99)</f>
        <v> </v>
      </c>
      <c r="F99" s="31" t="str">
        <f t="shared" si="13"/>
        <v> </v>
      </c>
      <c r="G99" s="31"/>
      <c r="H99" s="31">
        <f t="shared" si="10"/>
        <v>71</v>
      </c>
      <c r="I99" s="31">
        <f>IF(H99=" "," ",($I$26-$D$3*$F$13)*((H99/$F$13)-($C$18/(PI()))*SIN((PI()*H99)/$F$13))+$D$3*H99)</f>
        <v>15.9514127606124</v>
      </c>
      <c r="J99" s="31">
        <f t="shared" si="14"/>
        <v>1.00890138374378</v>
      </c>
      <c r="K99" s="31" t="str">
        <f t="shared" si="11"/>
        <v> </v>
      </c>
      <c r="L99" s="31" t="str">
        <f>IF(K99=" "," ",($L$26-$D$3*$F$12)*((K99/$F$12)-($C$18/(PI()))*SIN((PI()*K99)/$F$12))+$D$3*K99)</f>
        <v> </v>
      </c>
      <c r="M99" s="31" t="str">
        <f t="shared" si="15"/>
        <v> </v>
      </c>
    </row>
    <row r="100" spans="1:13">
      <c r="A100" s="31" t="str">
        <f t="shared" si="8"/>
        <v> </v>
      </c>
      <c r="B100" s="31" t="str">
        <f>IF(A100=" "," ",($B$26-$B$3*($F$9))*((A100/($F$9))-($C$18/(PI()))*SIN((PI()*A100)/($F$9)))+$B$3*A100)</f>
        <v> </v>
      </c>
      <c r="C100" s="31" t="str">
        <f t="shared" si="12"/>
        <v> </v>
      </c>
      <c r="D100" s="31" t="str">
        <f t="shared" si="9"/>
        <v> </v>
      </c>
      <c r="E100" s="31" t="str">
        <f>IF(D100=" "," ",($E$26-$B$3*($F$8))*((D100/($F$8))-($C$18/(PI()))*SIN((PI()*D100)/($F$8)))+$B$3*D100)</f>
        <v> </v>
      </c>
      <c r="F100" s="31" t="str">
        <f t="shared" si="13"/>
        <v> </v>
      </c>
      <c r="G100" s="31"/>
      <c r="H100" s="31">
        <f t="shared" si="10"/>
        <v>72</v>
      </c>
      <c r="I100" s="31">
        <f>IF(H100=" "," ",($I$26-$D$3*$F$13)*((H100/$F$13)-($C$18/(PI()))*SIN((PI()*H100)/$F$13))+$D$3*H100)</f>
        <v>16.4519757201335</v>
      </c>
      <c r="J100" s="31">
        <f t="shared" si="14"/>
        <v>1.00813384973031</v>
      </c>
      <c r="K100" s="31" t="str">
        <f t="shared" si="11"/>
        <v> </v>
      </c>
      <c r="L100" s="31" t="str">
        <f>IF(K100=" "," ",($L$26-$D$3*$F$12)*((K100/$F$12)-($C$18/(PI()))*SIN((PI()*K100)/$F$12))+$D$3*K100)</f>
        <v> </v>
      </c>
      <c r="M100" s="31" t="str">
        <f t="shared" si="15"/>
        <v> </v>
      </c>
    </row>
    <row r="101" spans="1:13">
      <c r="A101" s="31" t="str">
        <f t="shared" si="8"/>
        <v> </v>
      </c>
      <c r="B101" s="31" t="str">
        <f>IF(A101=" "," ",($B$26-$B$3*($F$9))*((A101/($F$9))-($C$18/(PI()))*SIN((PI()*A101)/($F$9)))+$B$3*A101)</f>
        <v> </v>
      </c>
      <c r="C101" s="31" t="str">
        <f t="shared" si="12"/>
        <v> </v>
      </c>
      <c r="D101" s="31" t="str">
        <f t="shared" si="9"/>
        <v> </v>
      </c>
      <c r="E101" s="31" t="str">
        <f>IF(D101=" "," ",($E$26-$B$3*($F$8))*((D101/($F$8))-($C$18/(PI()))*SIN((PI()*D101)/($F$8)))+$B$3*D101)</f>
        <v> </v>
      </c>
      <c r="F101" s="31" t="str">
        <f t="shared" si="13"/>
        <v> </v>
      </c>
      <c r="G101" s="31"/>
      <c r="H101" s="31">
        <f t="shared" si="10"/>
        <v>73</v>
      </c>
      <c r="I101" s="31">
        <f>IF(H101=" "," ",($I$26-$D$3*$F$13)*((H101/$F$13)-($C$18/(PI()))*SIN((PI()*H101)/$F$13))+$D$3*H101)</f>
        <v>16.9562293019809</v>
      </c>
      <c r="J101" s="31">
        <f t="shared" si="14"/>
        <v>1.00737294331512</v>
      </c>
      <c r="K101" s="31" t="str">
        <f t="shared" si="11"/>
        <v> </v>
      </c>
      <c r="L101" s="31" t="str">
        <f>IF(K101=" "," ",($L$26-$D$3*$F$12)*((K101/$F$12)-($C$18/(PI()))*SIN((PI()*K101)/$F$12))+$D$3*K101)</f>
        <v> </v>
      </c>
      <c r="M101" s="31" t="str">
        <f t="shared" si="15"/>
        <v> </v>
      </c>
    </row>
    <row r="102" spans="1:13">
      <c r="A102" s="31" t="str">
        <f t="shared" si="8"/>
        <v> </v>
      </c>
      <c r="B102" s="31" t="str">
        <f>IF(A102=" "," ",($B$26-$B$3*($F$9))*((A102/($F$9))-($C$18/(PI()))*SIN((PI()*A102)/($F$9)))+$B$3*A102)</f>
        <v> </v>
      </c>
      <c r="C102" s="31" t="str">
        <f t="shared" si="12"/>
        <v> </v>
      </c>
      <c r="D102" s="31" t="str">
        <f t="shared" si="9"/>
        <v> </v>
      </c>
      <c r="E102" s="31" t="str">
        <f>IF(D102=" "," ",($E$26-$B$3*($F$8))*((D102/($F$8))-($C$18/(PI()))*SIN((PI()*D102)/($F$8)))+$B$3*D102)</f>
        <v> </v>
      </c>
      <c r="F102" s="31" t="str">
        <f t="shared" si="13"/>
        <v> </v>
      </c>
      <c r="G102" s="31"/>
      <c r="H102" s="31">
        <f t="shared" si="10"/>
        <v>74</v>
      </c>
      <c r="I102" s="31">
        <f>IF(H102=" "," ",($I$26-$D$3*$F$13)*((H102/$F$13)-($C$18/(PI()))*SIN((PI()*H102)/$F$13))+$D$3*H102)</f>
        <v>17.4638200578956</v>
      </c>
      <c r="J102" s="31">
        <f t="shared" si="14"/>
        <v>1.00661804732284</v>
      </c>
      <c r="K102" s="31" t="str">
        <f t="shared" si="11"/>
        <v> </v>
      </c>
      <c r="L102" s="31" t="str">
        <f>IF(K102=" "," ",($L$26-$D$3*$F$12)*((K102/$F$12)-($C$18/(PI()))*SIN((PI()*K102)/$F$12))+$D$3*K102)</f>
        <v> </v>
      </c>
      <c r="M102" s="31" t="str">
        <f t="shared" si="15"/>
        <v> </v>
      </c>
    </row>
    <row r="103" spans="1:13">
      <c r="A103" s="31" t="str">
        <f t="shared" si="8"/>
        <v> </v>
      </c>
      <c r="B103" s="31" t="str">
        <f>IF(A103=" "," ",($B$26-$B$3*($F$9))*((A103/($F$9))-($C$18/(PI()))*SIN((PI()*A103)/($F$9)))+$B$3*A103)</f>
        <v> </v>
      </c>
      <c r="C103" s="31" t="str">
        <f t="shared" si="12"/>
        <v> </v>
      </c>
      <c r="D103" s="31" t="str">
        <f t="shared" si="9"/>
        <v> </v>
      </c>
      <c r="E103" s="31" t="str">
        <f>IF(D103=" "," ",($E$26-$B$3*($F$8))*((D103/($F$8))-($C$18/(PI()))*SIN((PI()*D103)/($F$8)))+$B$3*D103)</f>
        <v> </v>
      </c>
      <c r="F103" s="31" t="str">
        <f t="shared" si="13"/>
        <v> </v>
      </c>
      <c r="G103" s="31"/>
      <c r="H103" s="31">
        <f t="shared" si="10"/>
        <v>75</v>
      </c>
      <c r="I103" s="31">
        <f>IF(H103=" "," ",($I$26-$D$3*$F$13)*((H103/$F$13)-($C$18/(PI()))*SIN((PI()*H103)/$F$13))+$D$3*H103)</f>
        <v>17.9743896418557</v>
      </c>
      <c r="J103" s="31">
        <f t="shared" si="14"/>
        <v>1.00586856244067</v>
      </c>
      <c r="K103" s="31" t="str">
        <f t="shared" si="11"/>
        <v> </v>
      </c>
      <c r="L103" s="31" t="str">
        <f>IF(K103=" "," ",($L$26-$D$3*$F$12)*((K103/$F$12)-($C$18/(PI()))*SIN((PI()*K103)/$F$12))+$D$3*K103)</f>
        <v> </v>
      </c>
      <c r="M103" s="31" t="str">
        <f t="shared" si="15"/>
        <v> </v>
      </c>
    </row>
    <row r="104" spans="1:13">
      <c r="A104" s="31" t="str">
        <f t="shared" si="8"/>
        <v> </v>
      </c>
      <c r="B104" s="31" t="str">
        <f>IF(A104=" "," ",($B$26-$B$3*($F$9))*((A104/($F$9))-($C$18/(PI()))*SIN((PI()*A104)/($F$9)))+$B$3*A104)</f>
        <v> </v>
      </c>
      <c r="C104" s="31" t="str">
        <f t="shared" si="12"/>
        <v> </v>
      </c>
      <c r="D104" s="31" t="str">
        <f t="shared" si="9"/>
        <v> </v>
      </c>
      <c r="E104" s="31" t="str">
        <f>IF(D104=" "," ",($E$26-$B$3*($F$8))*((D104/($F$8))-($C$18/(PI()))*SIN((PI()*D104)/($F$8)))+$B$3*D104)</f>
        <v> </v>
      </c>
      <c r="F104" s="31" t="str">
        <f t="shared" si="13"/>
        <v> </v>
      </c>
      <c r="G104" s="31"/>
      <c r="H104" s="31">
        <f t="shared" si="10"/>
        <v>76</v>
      </c>
      <c r="I104" s="31">
        <f>IF(H104=" "," ",($I$26-$D$3*$F$13)*((H104/$F$13)-($C$18/(PI()))*SIN((PI()*H104)/$F$13))+$D$3*H104)</f>
        <v>18.4875753359984</v>
      </c>
      <c r="J104" s="31">
        <f t="shared" si="14"/>
        <v>1.0051239052711</v>
      </c>
      <c r="K104" s="31" t="str">
        <f t="shared" si="11"/>
        <v> </v>
      </c>
      <c r="L104" s="31" t="str">
        <f>IF(K104=" "," ",($L$26-$D$3*$F$12)*((K104/$F$12)-($C$18/(PI()))*SIN((PI()*K104)/$F$12))+$D$3*K104)</f>
        <v> </v>
      </c>
      <c r="M104" s="31" t="str">
        <f t="shared" si="15"/>
        <v> </v>
      </c>
    </row>
    <row r="105" spans="1:13">
      <c r="A105" s="31" t="str">
        <f t="shared" si="8"/>
        <v> </v>
      </c>
      <c r="B105" s="31" t="str">
        <f>IF(A105=" "," ",($B$26-$B$3*($F$9))*((A105/($F$9))-($C$18/(PI()))*SIN((PI()*A105)/($F$9)))+$B$3*A105)</f>
        <v> </v>
      </c>
      <c r="C105" s="31" t="str">
        <f t="shared" si="12"/>
        <v> </v>
      </c>
      <c r="D105" s="31" t="str">
        <f t="shared" si="9"/>
        <v> </v>
      </c>
      <c r="E105" s="31" t="str">
        <f>IF(D105=" "," ",($E$26-$B$3*($F$8))*((D105/($F$8))-($C$18/(PI()))*SIN((PI()*D105)/($F$8)))+$B$3*D105)</f>
        <v> </v>
      </c>
      <c r="F105" s="31" t="str">
        <f t="shared" si="13"/>
        <v> </v>
      </c>
      <c r="G105" s="31"/>
      <c r="H105" s="31">
        <f t="shared" si="10"/>
        <v>77</v>
      </c>
      <c r="I105" s="31">
        <f>IF(H105=" "," ",($I$26-$D$3*$F$13)*((H105/$F$13)-($C$18/(PI()))*SIN((PI()*H105)/$F$13))+$D$3*H105)</f>
        <v>19.0030105829581</v>
      </c>
      <c r="J105" s="31">
        <f t="shared" si="14"/>
        <v>1.0043835064828</v>
      </c>
      <c r="K105" s="31" t="str">
        <f t="shared" si="11"/>
        <v> </v>
      </c>
      <c r="L105" s="31" t="str">
        <f>IF(K105=" "," ",($L$26-$D$3*$F$12)*((K105/$F$12)-($C$18/(PI()))*SIN((PI()*K105)/$F$12))+$D$3*K105)</f>
        <v> </v>
      </c>
      <c r="M105" s="31" t="str">
        <f t="shared" si="15"/>
        <v> </v>
      </c>
    </row>
    <row r="106" spans="1:13">
      <c r="A106" s="31" t="str">
        <f t="shared" si="8"/>
        <v> </v>
      </c>
      <c r="B106" s="31" t="str">
        <f>IF(A106=" "," ",($B$26-$B$3*($F$9))*((A106/($F$9))-($C$18/(PI()))*SIN((PI()*A106)/($F$9)))+$B$3*A106)</f>
        <v> </v>
      </c>
      <c r="C106" s="31" t="str">
        <f t="shared" si="12"/>
        <v> </v>
      </c>
      <c r="D106" s="31" t="str">
        <f t="shared" si="9"/>
        <v> </v>
      </c>
      <c r="E106" s="31" t="str">
        <f>IF(D106=" "," ",($E$26-$B$3*($F$8))*((D106/($F$8))-($C$18/(PI()))*SIN((PI()*D106)/($F$8)))+$B$3*D106)</f>
        <v> </v>
      </c>
      <c r="F106" s="31" t="str">
        <f t="shared" si="13"/>
        <v> </v>
      </c>
      <c r="G106" s="31"/>
      <c r="H106" s="31">
        <f t="shared" si="10"/>
        <v>78</v>
      </c>
      <c r="I106" s="31">
        <f>IF(H106=" "," ",($I$26-$D$3*$F$13)*((H106/$F$13)-($C$18/(PI()))*SIN((PI()*H106)/$F$13))+$D$3*H106)</f>
        <v>19.5203255238408</v>
      </c>
      <c r="J106" s="31">
        <f t="shared" si="14"/>
        <v>1.00364680904911</v>
      </c>
      <c r="K106" s="31" t="str">
        <f t="shared" si="11"/>
        <v> </v>
      </c>
      <c r="L106" s="31" t="str">
        <f>IF(K106=" "," ",($L$26-$D$3*$F$12)*((K106/$F$12)-($C$18/(PI()))*SIN((PI()*K106)/$F$12))+$D$3*K106)</f>
        <v> </v>
      </c>
      <c r="M106" s="31" t="str">
        <f t="shared" si="15"/>
        <v> 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>
        <f t="shared" si="10"/>
        <v>79</v>
      </c>
      <c r="I107" s="31">
        <f>IF(H107=" "," ",($I$26-$D$3*$F$13)*((H107/$F$13)-($C$18/(PI()))*SIN((PI()*H107)/$F$13))+$D$3*H107)</f>
        <v>20.0391475410419</v>
      </c>
      <c r="J107" s="31">
        <f t="shared" si="14"/>
        <v>1.00291326656042</v>
      </c>
      <c r="K107" s="31" t="str">
        <f t="shared" si="11"/>
        <v> </v>
      </c>
      <c r="L107" s="31" t="str">
        <f>IF(K107=" "," ",($L$26-$D$3*$F$12)*((K107/$F$12)-($C$18/(PI()))*SIN((PI()*K107)/$F$12))+$D$3*K107)</f>
        <v> </v>
      </c>
      <c r="M107" s="31" t="str">
        <f t="shared" si="15"/>
        <v> 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>
        <f t="shared" si="10"/>
        <v>80</v>
      </c>
      <c r="I108" s="31">
        <f>IF(H108=" "," ",($I$26-$D$3*$F$13)*((H108/$F$13)-($C$18/(PI()))*SIN((PI()*H108)/$F$13))+$D$3*H108)</f>
        <v>20.5591018051148</v>
      </c>
      <c r="J108" s="31">
        <f t="shared" si="14"/>
        <v>1.00218234160131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>
        <f t="shared" si="10"/>
        <v>81</v>
      </c>
      <c r="I109" s="31">
        <f>IF(H109=" "," ",($I$26-$D$3*$F$13)*((H109/$F$13)-($C$18/(PI()))*SIN((PI()*H109)/$F$13))+$D$3*H109)</f>
        <v>21.0798118248844</v>
      </c>
      <c r="J109" s="31">
        <f t="shared" si="14"/>
        <v>1.00145350418092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>
        <f t="shared" si="10"/>
        <v>82</v>
      </c>
      <c r="I110" s="31">
        <f>IF(H110=" "," ",($I$26-$D$3*$F$13)*((H110/$F$13)-($C$18/(PI()))*SIN((PI()*H110)/$F$13))+$D$3*H110)</f>
        <v>21.6009</v>
      </c>
      <c r="J110" s="31">
        <f t="shared" si="14"/>
        <v>1.0007262302079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 t="str">
        <f t="shared" si="10"/>
        <v> </v>
      </c>
      <c r="I111" s="31" t="str">
        <f>IF(H111=" "," ",($I$26-$D$3*$F$13)*((H111/$F$13)-($C$18/(PI()))*SIN((PI()*H111)/$F$13))+$D$3*H111)</f>
        <v> </v>
      </c>
      <c r="J111" s="31" t="str">
        <f t="shared" si="14"/>
        <v> 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 t="str">
        <f t="shared" si="10"/>
        <v> </v>
      </c>
      <c r="I112" s="31" t="str">
        <f>IF(H112=" "," ",($I$26-$D$3*$F$13)*((H112/$F$13)-($C$18/(PI()))*SIN((PI()*H112)/$F$13))+$D$3*H112)</f>
        <v> </v>
      </c>
      <c r="J112" s="31" t="str">
        <f t="shared" si="14"/>
        <v> 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 t="str">
        <f t="shared" si="10"/>
        <v> </v>
      </c>
      <c r="I113" s="31" t="str">
        <f>IF(H113=" "," ",($I$26-$D$3*$F$13)*((H113/$F$13)-($C$18/(PI()))*SIN((PI()*H113)/$F$13))+$D$3*H113)</f>
        <v> </v>
      </c>
      <c r="J113" s="31" t="str">
        <f t="shared" si="14"/>
        <v> 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 t="str">
        <f t="shared" si="10"/>
        <v> </v>
      </c>
      <c r="I114" s="31" t="str">
        <f>IF(H114=" "," ",($I$26-$D$3*$F$13)*((H114/$F$13)-($C$18/(PI()))*SIN((PI()*H114)/$F$13))+$D$3*H114)</f>
        <v> </v>
      </c>
      <c r="J114" s="31" t="str">
        <f t="shared" si="14"/>
        <v> 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 t="str">
        <f t="shared" si="10"/>
        <v> </v>
      </c>
      <c r="I115" s="31" t="str">
        <f>IF(H115=" "," ",($I$26-$D$3*$F$13)*((H115/$F$13)-($C$18/(PI()))*SIN((PI()*H115)/$F$13))+$D$3*H115)</f>
        <v> </v>
      </c>
      <c r="J115" s="31" t="str">
        <f t="shared" si="14"/>
        <v> 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 t="str">
        <f t="shared" si="10"/>
        <v> </v>
      </c>
      <c r="I116" s="31" t="str">
        <f>IF(H116=" "," ",($I$26-$D$3*$F$13)*((H116/$F$13)-($C$18/(PI()))*SIN((PI()*H116)/$F$13))+$D$3*H116)</f>
        <v> </v>
      </c>
      <c r="J116" s="31" t="str">
        <f t="shared" si="14"/>
        <v> 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 t="str">
        <f t="shared" si="10"/>
        <v> </v>
      </c>
      <c r="I117" s="31" t="str">
        <f>IF(H117=" "," ",($I$26-$D$3*$F$13)*((H117/$F$13)-($C$18/(PI()))*SIN((PI()*H117)/$F$13))+$D$3*H117)</f>
        <v> </v>
      </c>
      <c r="J117" s="31" t="str">
        <f t="shared" si="14"/>
        <v> 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 t="str">
        <f t="shared" si="10"/>
        <v> </v>
      </c>
      <c r="I118" s="31" t="str">
        <f>IF(H118=" "," ",($I$26-$D$3*$F$13)*((H118/$F$13)-($C$18/(PI()))*SIN((PI()*H118)/$F$13))+$D$3*H118)</f>
        <v> </v>
      </c>
      <c r="J118" s="31" t="str">
        <f t="shared" si="14"/>
        <v> 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 t="str">
        <f t="shared" si="10"/>
        <v> </v>
      </c>
      <c r="I119" s="31" t="str">
        <f>IF(H119=" "," ",($I$26-$D$3*$F$13)*((H119/$F$13)-($C$18/(PI()))*SIN((PI()*H119)/$F$13))+$D$3*H119)</f>
        <v> </v>
      </c>
      <c r="J119" s="31" t="str">
        <f t="shared" si="14"/>
        <v> 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 t="str">
        <f t="shared" si="10"/>
        <v> </v>
      </c>
      <c r="I120" s="31" t="str">
        <f>IF(H120=" "," ",($I$26-$D$3*$F$13)*((H120/$F$13)-($C$18/(PI()))*SIN((PI()*H120)/$F$13))+$D$3*H120)</f>
        <v> </v>
      </c>
      <c r="J120" s="31" t="str">
        <f t="shared" si="14"/>
        <v> 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 t="str">
        <f t="shared" si="10"/>
        <v> </v>
      </c>
      <c r="I121" s="31" t="str">
        <f>IF(H121=" "," ",($I$26-$D$3*$F$13)*((H121/$F$13)-($C$18/(PI()))*SIN((PI()*H121)/$F$13))+$D$3*H121)</f>
        <v> </v>
      </c>
      <c r="J121" s="31" t="str">
        <f t="shared" si="14"/>
        <v> 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 t="str">
        <f t="shared" si="10"/>
        <v> </v>
      </c>
      <c r="I122" s="31" t="str">
        <f>IF(H122=" "," ",($I$26-$D$3*$F$13)*((H122/$F$13)-($C$18/(PI()))*SIN((PI()*H122)/$F$13))+$D$3*H122)</f>
        <v> </v>
      </c>
      <c r="J122" s="31" t="str">
        <f t="shared" si="14"/>
        <v> 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 t="str">
        <f t="shared" si="10"/>
        <v> </v>
      </c>
      <c r="I123" s="31" t="str">
        <f>IF(H123=" "," ",($I$26-$D$3*$F$13)*((H123/$F$13)-($C$18/(PI()))*SIN((PI()*H123)/$F$13))+$D$3*H123)</f>
        <v> </v>
      </c>
      <c r="J123" s="31" t="str">
        <f t="shared" si="14"/>
        <v> 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 t="str">
        <f t="shared" si="10"/>
        <v> </v>
      </c>
      <c r="I124" s="31" t="str">
        <f>IF(H124=" "," ",($I$26-$D$3*$F$13)*((H124/$F$13)-($C$18/(PI()))*SIN((PI()*H124)/$F$13))+$D$3*H124)</f>
        <v> </v>
      </c>
      <c r="J124" s="31" t="str">
        <f t="shared" si="14"/>
        <v> 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 t="str">
        <f t="shared" si="10"/>
        <v> </v>
      </c>
      <c r="I125" s="31" t="str">
        <f>IF(H125=" "," ",($I$26-$D$3*$F$13)*((H125/$F$13)-($C$18/(PI()))*SIN((PI()*H125)/$F$13))+$D$3*H125)</f>
        <v> </v>
      </c>
      <c r="J125" s="31" t="str">
        <f t="shared" si="14"/>
        <v> 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 t="str">
        <f t="shared" si="10"/>
        <v> </v>
      </c>
      <c r="I126" s="31" t="str">
        <f>IF(H126=" "," ",($I$26-$D$3*$F$13)*((H126/$F$13)-($C$18/(PI()))*SIN((PI()*H126)/$F$13))+$D$3*H126)</f>
        <v> </v>
      </c>
      <c r="J126" s="31" t="str">
        <f t="shared" si="14"/>
        <v> 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H14" sqref="H14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0.00488</v>
      </c>
      <c r="C3" s="7" t="s">
        <v>112</v>
      </c>
      <c r="D3" s="8">
        <v>0.00488</v>
      </c>
      <c r="E3" s="7" t="s">
        <v>113</v>
      </c>
      <c r="F3" s="8">
        <f>D3*9</f>
        <v>0.04392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1.50304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446</v>
      </c>
      <c r="C8" s="11" t="s">
        <v>125</v>
      </c>
      <c r="D8" s="12">
        <f>D7/B3</f>
        <v>308</v>
      </c>
      <c r="E8" s="7" t="s">
        <v>126</v>
      </c>
      <c r="F8" s="34">
        <v>69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69</v>
      </c>
      <c r="C9" s="13"/>
      <c r="D9" s="14"/>
      <c r="E9" s="7" t="s">
        <v>130</v>
      </c>
      <c r="F9" s="34">
        <v>69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2.99632</v>
      </c>
      <c r="E11" s="7"/>
      <c r="J11" s="41" t="s">
        <v>134</v>
      </c>
      <c r="K11" s="42">
        <f>(B3*K9)/K3</f>
        <v>1.55473526355291</v>
      </c>
    </row>
    <row r="12" ht="15.15" spans="1:11">
      <c r="A12" s="11" t="s">
        <v>135</v>
      </c>
      <c r="B12" s="12">
        <f>D12+F13+F12</f>
        <v>770</v>
      </c>
      <c r="C12" s="15" t="s">
        <v>136</v>
      </c>
      <c r="D12" s="12">
        <f>D11/D3</f>
        <v>614</v>
      </c>
      <c r="E12" s="7" t="s">
        <v>137</v>
      </c>
      <c r="F12" s="34">
        <v>70</v>
      </c>
      <c r="G12" t="s">
        <v>127</v>
      </c>
      <c r="J12" s="43" t="s">
        <v>138</v>
      </c>
      <c r="K12" s="29">
        <f>(1-EXP(-1*K11/25))</f>
        <v>0.0602951200773033</v>
      </c>
    </row>
    <row r="13" ht="15.15" spans="1:7">
      <c r="A13" s="11" t="s">
        <v>139</v>
      </c>
      <c r="B13" s="12">
        <f>F12</f>
        <v>70</v>
      </c>
      <c r="C13" s="13"/>
      <c r="D13" s="14"/>
      <c r="E13" s="7" t="s">
        <v>140</v>
      </c>
      <c r="F13" s="34">
        <v>86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0.000488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70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1.198</v>
      </c>
      <c r="G20" s="35" t="s">
        <v>147</v>
      </c>
      <c r="H20" s="36">
        <f>(B8*B12*B16)/1000000</f>
        <v>24.0394</v>
      </c>
      <c r="I20">
        <v>0.54</v>
      </c>
    </row>
    <row r="21" spans="1:8">
      <c r="A21" s="24" t="s">
        <v>148</v>
      </c>
      <c r="B21" s="25"/>
      <c r="C21" s="26">
        <f>ROUND(MAX(C29:C529),3)</f>
        <v>1.198</v>
      </c>
      <c r="G21" s="35"/>
      <c r="H21" s="36"/>
    </row>
    <row r="22" spans="1:7">
      <c r="A22" s="24" t="s">
        <v>149</v>
      </c>
      <c r="B22" s="25"/>
      <c r="C22" s="26">
        <f>ROUND(MAX(M28:M528),3)</f>
        <v>1.195</v>
      </c>
      <c r="G22" s="37"/>
    </row>
    <row r="23" ht="15.15" spans="1:6">
      <c r="A23" s="27" t="s">
        <v>150</v>
      </c>
      <c r="B23" s="28"/>
      <c r="C23" s="29">
        <f>ROUND(MAX(J28:J528),3)</f>
        <v>1.199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11.24848</v>
      </c>
      <c r="D26" s="7" t="s">
        <v>155</v>
      </c>
      <c r="E26" s="9">
        <f>B4-D7*0.5</f>
        <v>11.24848</v>
      </c>
      <c r="H26" s="7" t="s">
        <v>155</v>
      </c>
      <c r="I26" s="9">
        <f>B11-(D4+D11*0.5)</f>
        <v>21.60184</v>
      </c>
      <c r="K26" s="7" t="s">
        <v>155</v>
      </c>
      <c r="L26" s="9">
        <f>D4-D11*0.5</f>
        <v>11.40184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0.00493463249228644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0.00493463249228644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0.00493477651627405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0.0049330365405044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0.0101969240532474</v>
      </c>
      <c r="C30" s="31">
        <f t="shared" ref="C30:C93" si="4">IF(A30=" "," ",(B30-B29)/(B29-B28))</f>
        <v>1.06639989283634</v>
      </c>
      <c r="D30" s="31">
        <f t="shared" si="1"/>
        <v>2</v>
      </c>
      <c r="E30" s="31">
        <f>IF(D30=" "," ",($E$26-$B$3*($F$8))*((D30/($F$8))-($C$18/(PI()))*SIN((PI()*D30)/($F$8)))+$B$3*D30)</f>
        <v>0.0101969240532474</v>
      </c>
      <c r="F30" s="31">
        <f t="shared" ref="F30:F93" si="5">IF(D30=" "," ",(E30-E29)/(E29-E28))</f>
        <v>1.06639989283634</v>
      </c>
      <c r="G30" s="31"/>
      <c r="H30" s="31">
        <f t="shared" si="2"/>
        <v>2</v>
      </c>
      <c r="I30" s="31">
        <f>IF(H30=" "," ",($I$26-$D$3*$F$13)*((H30/$F$13)-($C$18/(PI()))*SIN((PI()*H30)/$F$13))+$D$3*H30)</f>
        <v>0.0101981244223395</v>
      </c>
      <c r="J30" s="31">
        <f t="shared" ref="J30:J93" si="6">IF(H30=" "," ",(I30-I29)/(I29-I28))</f>
        <v>1.06658283079442</v>
      </c>
      <c r="K30" s="31">
        <f t="shared" si="3"/>
        <v>2</v>
      </c>
      <c r="L30" s="31">
        <f>IF(K30=" "," ",($L$26-$D$3*$F$12)*((K30/$F$12)-($C$18/(PI()))*SIN((PI()*K30)/$F$12))+$D$3*K30)</f>
        <v>0.0101841641501056</v>
      </c>
      <c r="M30" s="31">
        <f t="shared" ref="M30:M93" si="7">IF(K30=" "," ",(L30-L29)/(L29-L28))</f>
        <v>1.06448179868221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0.0161138546281018</v>
      </c>
      <c r="C31" s="31">
        <f t="shared" si="4"/>
        <v>1.12440188961591</v>
      </c>
      <c r="D31" s="31">
        <f t="shared" si="1"/>
        <v>3</v>
      </c>
      <c r="E31" s="31">
        <f>IF(D31=" "," ",($E$26-$B$3*($F$8))*((D31/($F$8))-($C$18/(PI()))*SIN((PI()*D31)/($F$8)))+$B$3*D31)</f>
        <v>0.0161138546281018</v>
      </c>
      <c r="F31" s="31">
        <f t="shared" si="5"/>
        <v>1.12440188961591</v>
      </c>
      <c r="G31" s="31"/>
      <c r="H31" s="31">
        <f t="shared" si="2"/>
        <v>3</v>
      </c>
      <c r="I31" s="31">
        <f>IF(H31=" "," ",($I$26-$D$3*$F$13)*((H31/$F$13)-($C$18/(PI()))*SIN((PI()*H31)/$F$13))+$D$3*H31)</f>
        <v>0.0161181766941114</v>
      </c>
      <c r="J31" s="31">
        <f t="shared" si="6"/>
        <v>1.12476932504304</v>
      </c>
      <c r="K31" s="31">
        <f t="shared" si="3"/>
        <v>3</v>
      </c>
      <c r="L31" s="31">
        <f>IF(K31=" "," ",($L$26-$D$3*$F$12)*((K31/$F$12)-($C$18/(PI()))*SIN((PI()*K31)/$F$12))+$D$3*K31)</f>
        <v>0.0160708333048197</v>
      </c>
      <c r="M31" s="31">
        <f t="shared" si="7"/>
        <v>1.12102953734183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0.0230110473227448</v>
      </c>
      <c r="C32" s="31">
        <f t="shared" si="4"/>
        <v>1.16567071514318</v>
      </c>
      <c r="D32" s="31">
        <f t="shared" si="1"/>
        <v>4</v>
      </c>
      <c r="E32" s="31">
        <f>IF(D32=" "," ",($E$26-$B$3*($F$8))*((D32/($F$8))-($C$18/(PI()))*SIN((PI()*D32)/($F$8)))+$B$3*D32)</f>
        <v>0.0230110473227448</v>
      </c>
      <c r="F32" s="31">
        <f t="shared" si="5"/>
        <v>1.16567071514318</v>
      </c>
      <c r="G32" s="31"/>
      <c r="H32" s="31">
        <f t="shared" si="2"/>
        <v>4</v>
      </c>
      <c r="I32" s="31">
        <f>IF(H32=" "," ",($I$26-$D$3*$F$13)*((H32/$F$13)-($C$18/(PI()))*SIN((PI()*H32)/$F$13))+$D$3*H32)</f>
        <v>0.0230221900647288</v>
      </c>
      <c r="J32" s="31">
        <f t="shared" si="6"/>
        <v>1.16620817750838</v>
      </c>
      <c r="K32" s="31">
        <f t="shared" si="3"/>
        <v>4</v>
      </c>
      <c r="L32" s="31">
        <f>IF(K32=" "," ",($L$26-$D$3*$F$12)*((K32/$F$12)-($C$18/(PI()))*SIN((PI()*K32)/$F$12))+$D$3*K32)</f>
        <v>0.0229092145845703</v>
      </c>
      <c r="M32" s="31">
        <f t="shared" si="7"/>
        <v>1.16167243308966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0.0312120935001357</v>
      </c>
      <c r="C33" s="31">
        <f t="shared" si="4"/>
        <v>1.18904118537395</v>
      </c>
      <c r="D33" s="31">
        <f t="shared" si="1"/>
        <v>5</v>
      </c>
      <c r="E33" s="31">
        <f>IF(D33=" "," ",($E$26-$B$3*($F$8))*((D33/($F$8))-($C$18/(PI()))*SIN((PI()*D33)/($F$8)))+$B$3*D33)</f>
        <v>0.0312120935001357</v>
      </c>
      <c r="F33" s="31">
        <f t="shared" si="5"/>
        <v>1.18904118537395</v>
      </c>
      <c r="G33" s="31"/>
      <c r="H33" s="31">
        <f t="shared" si="2"/>
        <v>5</v>
      </c>
      <c r="I33" s="31">
        <f>IF(H33=" "," ",($I$26-$D$3*$F$13)*((H33/$F$13)-($C$18/(PI()))*SIN((PI()*H33)/$F$13))+$D$3*H33)</f>
        <v>0.0312361083648301</v>
      </c>
      <c r="J33" s="31">
        <f t="shared" si="6"/>
        <v>1.18973093752376</v>
      </c>
      <c r="K33" s="31">
        <f t="shared" si="3"/>
        <v>5</v>
      </c>
      <c r="L33" s="31">
        <f>IF(K33=" "," ",($L$26-$D$3*$F$12)*((K33/$F$12)-($C$18/(PI()))*SIN((PI()*K33)/$F$12))+$D$3*K33)</f>
        <v>0.0310135619477178</v>
      </c>
      <c r="M33" s="31">
        <f t="shared" si="7"/>
        <v>1.18512657186074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0.0410378820877836</v>
      </c>
      <c r="C34" s="31">
        <f t="shared" si="4"/>
        <v>1.19811404241769</v>
      </c>
      <c r="D34" s="31">
        <f t="shared" si="1"/>
        <v>6</v>
      </c>
      <c r="E34" s="31">
        <f>IF(D34=" "," ",($E$26-$B$3*($F$8))*((D34/($F$8))-($C$18/(PI()))*SIN((PI()*D34)/($F$8)))+$B$3*D34)</f>
        <v>0.0410378820877836</v>
      </c>
      <c r="F34" s="31">
        <f t="shared" si="5"/>
        <v>1.19811404241769</v>
      </c>
      <c r="G34" s="31"/>
      <c r="H34" s="31">
        <f t="shared" si="2"/>
        <v>6</v>
      </c>
      <c r="I34" s="31">
        <f>IF(H34=" "," ",($I$26-$D$3*$F$13)*((H34/$F$13)-($C$18/(PI()))*SIN((PI()*H34)/$F$13))+$D$3*H34)</f>
        <v>0.0410841276146352</v>
      </c>
      <c r="J34" s="31">
        <f t="shared" si="6"/>
        <v>1.19894292711477</v>
      </c>
      <c r="K34" s="31">
        <f t="shared" si="3"/>
        <v>6</v>
      </c>
      <c r="L34" s="31">
        <f>IF(K34=" "," ",($L$26-$D$3*$F$12)*((K34/$F$12)-($C$18/(PI()))*SIN((PI()*K34)/$F$12))+$D$3*K34)</f>
        <v>0.0406955798654084</v>
      </c>
      <c r="M34" s="31">
        <f t="shared" si="7"/>
        <v>1.19466966109044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0.0528059344864442</v>
      </c>
      <c r="C35" s="31">
        <f t="shared" si="4"/>
        <v>1.19767001840996</v>
      </c>
      <c r="D35" s="31">
        <f t="shared" si="1"/>
        <v>7</v>
      </c>
      <c r="E35" s="31">
        <f>IF(D35=" "," ",($E$26-$B$3*($F$8))*((D35/($F$8))-($C$18/(PI()))*SIN((PI()*D35)/($F$8)))+$B$3*D35)</f>
        <v>0.0528059344864442</v>
      </c>
      <c r="F35" s="31">
        <f t="shared" si="5"/>
        <v>1.19767001840996</v>
      </c>
      <c r="G35" s="31"/>
      <c r="H35" s="31">
        <f t="shared" si="2"/>
        <v>7</v>
      </c>
      <c r="I35" s="31">
        <f>IF(H35=" "," ",($I$26-$D$3*$F$13)*((H35/$F$13)-($C$18/(PI()))*SIN((PI()*H35)/$F$13))+$D$3*H35)</f>
        <v>0.0528882634481423</v>
      </c>
      <c r="J35" s="31">
        <f t="shared" si="6"/>
        <v>1.19863045898704</v>
      </c>
      <c r="K35" s="31">
        <f t="shared" si="3"/>
        <v>7</v>
      </c>
      <c r="L35" s="31">
        <f>IF(K35=" "," ",($L$26-$D$3*$F$12)*((K35/$F$12)-($C$18/(PI()))*SIN((PI()*K35)/$F$12))+$D$3*K35)</f>
        <v>0.0522637955902528</v>
      </c>
      <c r="M35" s="31">
        <f t="shared" si="7"/>
        <v>1.19481453382847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0.066829746458528</v>
      </c>
      <c r="C36" s="31">
        <f t="shared" si="4"/>
        <v>1.19168503818694</v>
      </c>
      <c r="D36" s="31">
        <f t="shared" si="1"/>
        <v>8</v>
      </c>
      <c r="E36" s="31">
        <f>IF(D36=" "," ",($E$26-$B$3*($F$8))*((D36/($F$8))-($C$18/(PI()))*SIN((PI()*D36)/($F$8)))+$B$3*D36)</f>
        <v>0.066829746458528</v>
      </c>
      <c r="F36" s="31">
        <f t="shared" si="5"/>
        <v>1.19168503818694</v>
      </c>
      <c r="G36" s="31"/>
      <c r="H36" s="31">
        <f t="shared" si="2"/>
        <v>8</v>
      </c>
      <c r="I36" s="31">
        <f>IF(H36=" "," ",($I$26-$D$3*$F$13)*((H36/$F$13)-($C$18/(PI()))*SIN((PI()*H36)/$F$13))+$D$3*H36)</f>
        <v>0.066967921446614</v>
      </c>
      <c r="J36" s="31">
        <f t="shared" si="6"/>
        <v>1.1927732954839</v>
      </c>
      <c r="K36" s="31">
        <f t="shared" si="3"/>
        <v>8</v>
      </c>
      <c r="L36" s="31">
        <f>IF(K36=" "," ",($L$26-$D$3*$F$12)*((K36/$F$12)-($C$18/(PI()))*SIN((PI()*K36)/$F$12))+$D$3*K36)</f>
        <v>0.0660229378234967</v>
      </c>
      <c r="M36" s="31">
        <f t="shared" si="7"/>
        <v>1.18939191319662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0.0834181383602601</v>
      </c>
      <c r="C37" s="31">
        <f t="shared" si="4"/>
        <v>1.18287323979767</v>
      </c>
      <c r="D37" s="31">
        <f t="shared" si="1"/>
        <v>9</v>
      </c>
      <c r="E37" s="31">
        <f>IF(D37=" "," ",($E$26-$B$3*($F$8))*((D37/($F$8))-($C$18/(PI()))*SIN((PI()*D37)/($F$8)))+$B$3*D37)</f>
        <v>0.0834181383602601</v>
      </c>
      <c r="F37" s="31">
        <f t="shared" si="5"/>
        <v>1.18287323979767</v>
      </c>
      <c r="G37" s="31"/>
      <c r="H37" s="31">
        <f t="shared" si="2"/>
        <v>9</v>
      </c>
      <c r="I37" s="31">
        <f>IF(H37=" "," ",($I$26-$D$3*$F$13)*((H37/$F$13)-($C$18/(PI()))*SIN((PI()*H37)/$F$13))+$D$3*H37)</f>
        <v>0.0836394709546728</v>
      </c>
      <c r="J37" s="31">
        <f t="shared" si="6"/>
        <v>1.18408767527367</v>
      </c>
      <c r="K37" s="31">
        <f t="shared" si="3"/>
        <v>9</v>
      </c>
      <c r="L37" s="31">
        <f>IF(K37=" "," ",($L$26-$D$3*$F$12)*((K37/$F$12)-($C$18/(PI()))*SIN((PI()*K37)/$F$12))+$D$3*K37)</f>
        <v>0.0822733230319736</v>
      </c>
      <c r="M37" s="31">
        <f t="shared" si="7"/>
        <v>1.18106092174945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0.102874615064334</v>
      </c>
      <c r="C38" s="31">
        <f t="shared" si="4"/>
        <v>1.17289709691768</v>
      </c>
      <c r="D38" s="31">
        <f t="shared" si="1"/>
        <v>10</v>
      </c>
      <c r="E38" s="31">
        <f>IF(D38=" "," ",($E$26-$B$3*($F$8))*((D38/($F$8))-($C$18/(PI()))*SIN((PI()*D38)/($F$8)))+$B$3*D38)</f>
        <v>0.102874615064334</v>
      </c>
      <c r="F38" s="31">
        <f t="shared" si="5"/>
        <v>1.17289709691768</v>
      </c>
      <c r="G38" s="31"/>
      <c r="H38" s="31">
        <f t="shared" si="2"/>
        <v>10</v>
      </c>
      <c r="I38" s="31">
        <f>IF(H38=" "," ",($I$26-$D$3*$F$13)*((H38/$F$13)-($C$18/(PI()))*SIN((PI()*H38)/$F$13))+$D$3*H38)</f>
        <v>0.103215822947651</v>
      </c>
      <c r="J38" s="31">
        <f t="shared" si="6"/>
        <v>1.17423710276691</v>
      </c>
      <c r="K38" s="31">
        <f t="shared" si="3"/>
        <v>10</v>
      </c>
      <c r="L38" s="31">
        <f>IF(K38=" "," ",($L$26-$D$3*$F$12)*((K38/$F$12)-($C$18/(PI()))*SIN((PI()*K38)/$F$12))+$D$3*K38)</f>
        <v>0.101310250650705</v>
      </c>
      <c r="M38" s="31">
        <f t="shared" si="7"/>
        <v>1.1714754680893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0.125496736899715</v>
      </c>
      <c r="C39" s="31">
        <f t="shared" si="4"/>
        <v>1.16270392525093</v>
      </c>
      <c r="D39" s="31">
        <f t="shared" si="1"/>
        <v>11</v>
      </c>
      <c r="E39" s="31">
        <f>IF(D39=" "," ",($E$26-$B$3*($F$8))*((D39/($F$8))-($C$18/(PI()))*SIN((PI()*D39)/($F$8)))+$B$3*D39)</f>
        <v>0.125496736899715</v>
      </c>
      <c r="F39" s="31">
        <f t="shared" si="5"/>
        <v>1.16270392525093</v>
      </c>
      <c r="G39" s="31"/>
      <c r="H39" s="31">
        <f t="shared" si="2"/>
        <v>11</v>
      </c>
      <c r="I39" s="31">
        <f>IF(H39=" "," ",($I$26-$D$3*$F$13)*((H39/$F$13)-($C$18/(PI()))*SIN((PI()*H39)/$F$13))+$D$3*H39)</f>
        <v>0.126006012513457</v>
      </c>
      <c r="J39" s="31">
        <f t="shared" si="6"/>
        <v>1.16416938017768</v>
      </c>
      <c r="K39" s="31">
        <f t="shared" si="3"/>
        <v>11</v>
      </c>
      <c r="L39" s="31">
        <f>IF(K39=" "," ",($L$26-$D$3*$F$12)*((K39/$F$12)-($C$18/(PI()))*SIN((PI()*K39)/$F$12))+$D$3*K39)</f>
        <v>0.123423408389141</v>
      </c>
      <c r="M39" s="31">
        <f t="shared" si="7"/>
        <v>1.1615927833164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0.151575502912418</v>
      </c>
      <c r="C40" s="31">
        <f t="shared" si="4"/>
        <v>1.15279929099824</v>
      </c>
      <c r="D40" s="31">
        <f t="shared" si="1"/>
        <v>12</v>
      </c>
      <c r="E40" s="31">
        <f>IF(D40=" "," ",($E$26-$B$3*($F$8))*((D40/($F$8))-($C$18/(PI()))*SIN((PI()*D40)/($F$8)))+$B$3*D40)</f>
        <v>0.151575502912418</v>
      </c>
      <c r="F40" s="31">
        <f t="shared" si="5"/>
        <v>1.15279929099824</v>
      </c>
      <c r="G40" s="31"/>
      <c r="H40" s="31">
        <f t="shared" si="2"/>
        <v>12</v>
      </c>
      <c r="I40" s="31">
        <f>IF(H40=" "," ",($I$26-$D$3*$F$13)*((H40/$F$13)-($C$18/(PI()))*SIN((PI()*H40)/$F$13))+$D$3*H40)</f>
        <v>0.152314786506048</v>
      </c>
      <c r="J40" s="31">
        <f t="shared" si="6"/>
        <v>1.15439030977017</v>
      </c>
      <c r="K40" s="31">
        <f t="shared" si="3"/>
        <v>12</v>
      </c>
      <c r="L40" s="31">
        <f>IF(K40=" "," ",($L$26-$D$3*$F$12)*((K40/$F$12)-($C$18/(PI()))*SIN((PI()*K40)/$F$12))+$D$3*K40)</f>
        <v>0.148896288838659</v>
      </c>
      <c r="M40" s="31">
        <f t="shared" si="7"/>
        <v>1.15193319519638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0.181394747725549</v>
      </c>
      <c r="C41" s="31">
        <f t="shared" si="4"/>
        <v>1.1434300533471</v>
      </c>
      <c r="D41" s="31">
        <f t="shared" si="1"/>
        <v>13</v>
      </c>
      <c r="E41" s="31">
        <f>IF(D41=" "," ",($E$26-$B$3*($F$8))*((D41/($F$8))-($C$18/(PI()))*SIN((PI()*D41)/($F$8)))+$B$3*D41)</f>
        <v>0.181394747725549</v>
      </c>
      <c r="F41" s="31">
        <f t="shared" si="5"/>
        <v>1.1434300533471</v>
      </c>
      <c r="G41" s="31"/>
      <c r="H41" s="31">
        <f t="shared" si="2"/>
        <v>13</v>
      </c>
      <c r="I41" s="31">
        <f>IF(H41=" "," ",($I$26-$D$3*$F$13)*((H41/$F$13)-($C$18/(PI()))*SIN((PI()*H41)/$F$13))+$D$3*H41)</f>
        <v>0.182442196920716</v>
      </c>
      <c r="J41" s="31">
        <f t="shared" si="6"/>
        <v>1.14514687849583</v>
      </c>
      <c r="K41" s="31">
        <f t="shared" si="3"/>
        <v>13</v>
      </c>
      <c r="L41" s="31">
        <f>IF(K41=" "," ",($L$26-$D$3*$F$12)*((K41/$F$12)-($C$18/(PI()))*SIN((PI()*K41)/$F$12))+$D$3*K41)</f>
        <v>0.17800561855622</v>
      </c>
      <c r="M41" s="31">
        <f t="shared" si="7"/>
        <v>1.14275767812167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0.215230553248704</v>
      </c>
      <c r="C42" s="31">
        <f t="shared" si="4"/>
        <v>1.13469692928829</v>
      </c>
      <c r="D42" s="31">
        <f t="shared" si="1"/>
        <v>14</v>
      </c>
      <c r="E42" s="31">
        <f>IF(D42=" "," ",($E$26-$B$3*($F$8))*((D42/($F$8))-($C$18/(PI()))*SIN((PI()*D42)/($F$8)))+$B$3*D42)</f>
        <v>0.215230553248704</v>
      </c>
      <c r="F42" s="31">
        <f t="shared" si="5"/>
        <v>1.13469692928829</v>
      </c>
      <c r="G42" s="31"/>
      <c r="H42" s="31">
        <f t="shared" si="2"/>
        <v>14</v>
      </c>
      <c r="I42" s="31">
        <f>IF(H42=" "," ",($I$26-$D$3*$F$13)*((H42/$F$13)-($C$18/(PI()))*SIN((PI()*H42)/$F$13))+$D$3*H42)</f>
        <v>0.216683200533726</v>
      </c>
      <c r="J42" s="31">
        <f t="shared" si="6"/>
        <v>1.13653988649284</v>
      </c>
      <c r="K42" s="31">
        <f t="shared" si="3"/>
        <v>14</v>
      </c>
      <c r="L42" s="31">
        <f>IF(K42=" "," ",($L$26-$D$3*$F$12)*((K42/$F$12)-($C$18/(PI()))*SIN((PI()*K42)/$F$12))+$D$3*K42)</f>
        <v>0.211020800773908</v>
      </c>
      <c r="M42" s="31">
        <f t="shared" si="7"/>
        <v>1.13417871651542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0.253350676456053</v>
      </c>
      <c r="C43" s="31">
        <f t="shared" si="4"/>
        <v>1.12662082719626</v>
      </c>
      <c r="D43" s="31">
        <f t="shared" si="1"/>
        <v>15</v>
      </c>
      <c r="E43" s="31">
        <f>IF(D43=" "," ",($E$26-$B$3*($F$8))*((D43/($F$8))-($C$18/(PI()))*SIN((PI()*D43)/($F$8)))+$B$3*D43)</f>
        <v>0.253350676456053</v>
      </c>
      <c r="F43" s="31">
        <f t="shared" si="5"/>
        <v>1.12662082719626</v>
      </c>
      <c r="G43" s="31"/>
      <c r="H43" s="31">
        <f t="shared" si="2"/>
        <v>15</v>
      </c>
      <c r="I43" s="31">
        <f>IF(H43=" "," ",($I$26-$D$3*$F$13)*((H43/$F$13)-($C$18/(PI()))*SIN((PI()*H43)/$F$13))+$D$3*H43)</f>
        <v>0.255327265340528</v>
      </c>
      <c r="J43" s="31">
        <f t="shared" si="6"/>
        <v>1.12859030779459</v>
      </c>
      <c r="K43" s="31">
        <f t="shared" si="3"/>
        <v>15</v>
      </c>
      <c r="L43" s="31">
        <f>IF(K43=" "," ",($L$26-$D$3*$F$12)*((K43/$F$12)-($C$18/(PI()))*SIN((PI()*K43)/$F$12))+$D$3*K43)</f>
        <v>0.248203372856672</v>
      </c>
      <c r="M43" s="31">
        <f t="shared" si="7"/>
        <v>1.12622646870756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0.296013994419122</v>
      </c>
      <c r="C44" s="31">
        <f t="shared" si="4"/>
        <v>1.11918100922728</v>
      </c>
      <c r="D44" s="31">
        <f t="shared" si="1"/>
        <v>16</v>
      </c>
      <c r="E44" s="31">
        <f>IF(D44=" "," ",($E$26-$B$3*($F$8))*((D44/($F$8))-($C$18/(PI()))*SIN((PI()*D44)/($F$8)))+$B$3*D44)</f>
        <v>0.296013994419122</v>
      </c>
      <c r="F44" s="31">
        <f t="shared" si="5"/>
        <v>1.11918100922728</v>
      </c>
      <c r="G44" s="31"/>
      <c r="H44" s="31">
        <f t="shared" si="2"/>
        <v>16</v>
      </c>
      <c r="I44" s="31">
        <f>IF(H44=" "," ",($I$26-$D$3*$F$13)*((H44/$F$13)-($C$18/(PI()))*SIN((PI()*H44)/$F$13))+$D$3*H44)</f>
        <v>0.298657984317673</v>
      </c>
      <c r="J44" s="31">
        <f t="shared" si="6"/>
        <v>1.12127746379096</v>
      </c>
      <c r="K44" s="31">
        <f t="shared" si="3"/>
        <v>16</v>
      </c>
      <c r="L44" s="31">
        <f>IF(K44=" "," ",($L$26-$D$3*$F$12)*((K44/$F$12)-($C$18/(PI()))*SIN((PI()*K44)/$F$12))+$D$3*K44)</f>
        <v>0.289806479600878</v>
      </c>
      <c r="M44" s="31">
        <f t="shared" si="7"/>
        <v>1.11888727470502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0.343469967744531</v>
      </c>
      <c r="C45" s="31">
        <f t="shared" si="4"/>
        <v>1.11233667682593</v>
      </c>
      <c r="D45" s="31">
        <f t="shared" si="1"/>
        <v>17</v>
      </c>
      <c r="E45" s="31">
        <f>IF(D45=" "," ",($E$26-$B$3*($F$8))*((D45/($F$8))-($C$18/(PI()))*SIN((PI()*D45)/($F$8)))+$B$3*D45)</f>
        <v>0.343469967744531</v>
      </c>
      <c r="F45" s="31">
        <f t="shared" si="5"/>
        <v>1.11233667682593</v>
      </c>
      <c r="G45" s="31"/>
      <c r="H45" s="31">
        <f t="shared" si="2"/>
        <v>17</v>
      </c>
      <c r="I45" s="31">
        <f>IF(H45=" "," ",($I$26-$D$3*$F$13)*((H45/$F$13)-($C$18/(PI()))*SIN((PI()*H45)/$F$13))+$D$3*H45)</f>
        <v>0.346952697023773</v>
      </c>
      <c r="J45" s="31">
        <f t="shared" si="6"/>
        <v>1.11456061302776</v>
      </c>
      <c r="K45" s="31">
        <f t="shared" si="3"/>
        <v>17</v>
      </c>
      <c r="L45" s="31">
        <f>IF(K45=" "," ",($L$26-$D$3*$F$12)*((K45/$F$12)-($C$18/(PI()))*SIN((PI()*K45)/$F$12))+$D$3*K45)</f>
        <v>0.336074363434383</v>
      </c>
      <c r="M45" s="31">
        <f t="shared" si="7"/>
        <v>1.11212569094851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0.39595812352879</v>
      </c>
      <c r="C46" s="31">
        <f t="shared" si="4"/>
        <v>1.10603896846335</v>
      </c>
      <c r="D46" s="31">
        <f t="shared" si="1"/>
        <v>18</v>
      </c>
      <c r="E46" s="31">
        <f>IF(D46=" "," ",($E$26-$B$3*($F$8))*((D46/($F$8))-($C$18/(PI()))*SIN((PI()*D46)/($F$8)))+$B$3*D46)</f>
        <v>0.39595812352879</v>
      </c>
      <c r="F46" s="31">
        <f t="shared" si="5"/>
        <v>1.10603896846335</v>
      </c>
      <c r="G46" s="31"/>
      <c r="H46" s="31">
        <f t="shared" si="2"/>
        <v>18</v>
      </c>
      <c r="I46" s="31">
        <f>IF(H46=" "," ",($I$26-$D$3*$F$13)*((H46/$F$13)-($C$18/(PI()))*SIN((PI()*H46)/$F$13))+$D$3*H46)</f>
        <v>0.40048211954443</v>
      </c>
      <c r="J46" s="31">
        <f t="shared" si="6"/>
        <v>1.10839095050452</v>
      </c>
      <c r="K46" s="31">
        <f t="shared" si="3"/>
        <v>18</v>
      </c>
      <c r="L46" s="31">
        <f>IF(K46=" "," ",($L$26-$D$3*$F$12)*((K46/$F$12)-($C$18/(PI()))*SIN((PI()*K46)/$F$12))+$D$3*K46)</f>
        <v>0.387241872544785</v>
      </c>
      <c r="M46" s="31">
        <f t="shared" si="7"/>
        <v>1.10589689587985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0.453707558901816</v>
      </c>
      <c r="C47" s="31">
        <f t="shared" si="4"/>
        <v>1.10023746329348</v>
      </c>
      <c r="D47" s="31">
        <f t="shared" si="1"/>
        <v>19</v>
      </c>
      <c r="E47" s="31">
        <f>IF(D47=" "," ",($E$26-$B$3*($F$8))*((D47/($F$8))-($C$18/(PI()))*SIN((PI()*D47)/($F$8)))+$B$3*D47)</f>
        <v>0.453707558901816</v>
      </c>
      <c r="F47" s="31">
        <f t="shared" si="5"/>
        <v>1.10023746329348</v>
      </c>
      <c r="G47" s="31"/>
      <c r="H47" s="31">
        <f t="shared" si="2"/>
        <v>19</v>
      </c>
      <c r="I47" s="31">
        <f>IF(H47=" "," ",($I$26-$D$3*$F$13)*((H47/$F$13)-($C$18/(PI()))*SIN((PI()*H47)/$F$13))+$D$3*H47)</f>
        <v>0.459509983274876</v>
      </c>
      <c r="J47" s="31">
        <f t="shared" si="6"/>
        <v>1.10271811185085</v>
      </c>
      <c r="K47" s="31">
        <f t="shared" si="3"/>
        <v>19</v>
      </c>
      <c r="L47" s="31">
        <f>IF(K47=" "," ",($L$26-$D$3*$F$12)*((K47/$F$12)-($C$18/(PI()))*SIN((PI()*K47)/$F$12))+$D$3*K47)</f>
        <v>0.443533987926431</v>
      </c>
      <c r="M47" s="31">
        <f t="shared" si="7"/>
        <v>1.10015352242743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0.516936466188148</v>
      </c>
      <c r="C48" s="31">
        <f t="shared" si="4"/>
        <v>1.09488355821856</v>
      </c>
      <c r="D48" s="31">
        <f t="shared" si="1"/>
        <v>20</v>
      </c>
      <c r="E48" s="31">
        <f>IF(D48=" "," ",($E$26-$B$3*($F$8))*((D48/($F$8))-($C$18/(PI()))*SIN((PI()*D48)/($F$8)))+$B$3*D48)</f>
        <v>0.516936466188148</v>
      </c>
      <c r="F48" s="31">
        <f t="shared" si="5"/>
        <v>1.09488355821856</v>
      </c>
      <c r="G48" s="31"/>
      <c r="H48" s="31">
        <f t="shared" si="2"/>
        <v>20</v>
      </c>
      <c r="I48" s="31">
        <f>IF(H48=" "," ",($I$26-$D$3*$F$13)*((H48/$F$13)-($C$18/(PI()))*SIN((PI()*H48)/$F$13))+$D$3*H48)</f>
        <v>0.524292683022314</v>
      </c>
      <c r="J48" s="31">
        <f t="shared" si="6"/>
        <v>1.09749355055899</v>
      </c>
      <c r="K48" s="31">
        <f t="shared" si="3"/>
        <v>20</v>
      </c>
      <c r="L48" s="31">
        <f>IF(K48=" "," ",($L$26-$D$3*$F$12)*((K48/$F$12)-($C$18/(PI()))*SIN((PI()*K48)/$F$12))+$D$3*K48)</f>
        <v>0.505165370298633</v>
      </c>
      <c r="M48" s="31">
        <f t="shared" si="7"/>
        <v>1.09484928669595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0.585851680670032</v>
      </c>
      <c r="C49" s="31">
        <f t="shared" si="4"/>
        <v>1.08993208074595</v>
      </c>
      <c r="D49" s="31">
        <f t="shared" si="1"/>
        <v>21</v>
      </c>
      <c r="E49" s="31">
        <f>IF(D49=" "," ",($E$26-$B$3*($F$8))*((D49/($F$8))-($C$18/(PI()))*SIN((PI()*D49)/($F$8)))+$B$3*D49)</f>
        <v>0.585851680670032</v>
      </c>
      <c r="F49" s="31">
        <f t="shared" si="5"/>
        <v>1.08993208074595</v>
      </c>
      <c r="G49" s="31"/>
      <c r="H49" s="31">
        <f t="shared" si="2"/>
        <v>21</v>
      </c>
      <c r="I49" s="31">
        <f>IF(H49=" "," ",($I$26-$D$3*$F$13)*((H49/$F$13)-($C$18/(PI()))*SIN((PI()*H49)/$F$13))+$D$3*H49)</f>
        <v>0.595078934897494</v>
      </c>
      <c r="J49" s="31">
        <f t="shared" si="6"/>
        <v>1.092672150916</v>
      </c>
      <c r="K49" s="31">
        <f t="shared" si="3"/>
        <v>21</v>
      </c>
      <c r="L49" s="31">
        <f>IF(K49=" "," ",($L$26-$D$3*$F$12)*((K49/$F$12)-($C$18/(PI()))*SIN((PI()*K49)/$F$12))+$D$3*K49)</f>
        <v>0.572339927807548</v>
      </c>
      <c r="M49" s="31">
        <f t="shared" si="7"/>
        <v>1.0899407886592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0.660648251889716</v>
      </c>
      <c r="C50" s="31">
        <f t="shared" si="4"/>
        <v>1.08534192024238</v>
      </c>
      <c r="D50" s="31">
        <f t="shared" si="1"/>
        <v>22</v>
      </c>
      <c r="E50" s="31">
        <f>IF(D50=" "," ",($E$26-$B$3*($F$8))*((D50/($F$8))-($C$18/(PI()))*SIN((PI()*D50)/($F$8)))+$B$3*D50)</f>
        <v>0.660648251889716</v>
      </c>
      <c r="F50" s="31">
        <f t="shared" si="5"/>
        <v>1.08534192024238</v>
      </c>
      <c r="G50" s="31"/>
      <c r="H50" s="31">
        <f t="shared" si="2"/>
        <v>22</v>
      </c>
      <c r="I50" s="31">
        <f>IF(H50=" "," ",($I$26-$D$3*$F$13)*((H50/$F$13)-($C$18/(PI()))*SIN((PI()*H50)/$F$13))+$D$3*H50)</f>
        <v>0.672109444451992</v>
      </c>
      <c r="J50" s="31">
        <f t="shared" si="6"/>
        <v>1.0882128593322</v>
      </c>
      <c r="K50" s="31">
        <f t="shared" si="3"/>
        <v>22</v>
      </c>
      <c r="L50" s="31">
        <f>IF(K50=" "," ",($L$26-$D$3*$F$12)*((K50/$F$12)-($C$18/(PI()))*SIN((PI()*K50)/$F$12))+$D$3*K50)</f>
        <v>0.645250405382307</v>
      </c>
      <c r="M50" s="31">
        <f t="shared" si="7"/>
        <v>1.08538828209004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0.741509039379486</v>
      </c>
      <c r="C51" s="31">
        <f t="shared" si="4"/>
        <v>1.08107612650152</v>
      </c>
      <c r="D51" s="31">
        <f t="shared" si="1"/>
        <v>23</v>
      </c>
      <c r="E51" s="31">
        <f>IF(D51=" "," ",($E$26-$B$3*($F$8))*((D51/($F$8))-($C$18/(PI()))*SIN((PI()*D51)/($F$8)))+$B$3*D51)</f>
        <v>0.741509039379486</v>
      </c>
      <c r="F51" s="31">
        <f t="shared" si="5"/>
        <v>1.08107612650152</v>
      </c>
      <c r="G51" s="31"/>
      <c r="H51" s="31">
        <f t="shared" si="2"/>
        <v>23</v>
      </c>
      <c r="I51" s="31">
        <f>IF(H51=" "," ",($I$26-$D$3*$F$13)*((H51/$F$13)-($C$18/(PI()))*SIN((PI()*H51)/$F$13))+$D$3*H51)</f>
        <v>0.755616585504005</v>
      </c>
      <c r="J51" s="31">
        <f t="shared" si="6"/>
        <v>1.08407878300393</v>
      </c>
      <c r="K51" s="31">
        <f t="shared" si="3"/>
        <v>23</v>
      </c>
      <c r="L51" s="31">
        <f>IF(K51=" "," ",($L$26-$D$3*$F$12)*((K51/$F$12)-($C$18/(PI()))*SIN((PI()*K51)/$F$12))+$D$3*K51)</f>
        <v>0.72407799657238</v>
      </c>
      <c r="M51" s="31">
        <f t="shared" si="7"/>
        <v>1.08115587515177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0.828604333657365</v>
      </c>
      <c r="C52" s="31">
        <f t="shared" si="4"/>
        <v>1.07710173226914</v>
      </c>
      <c r="D52" s="31">
        <f t="shared" si="1"/>
        <v>24</v>
      </c>
      <c r="E52" s="31">
        <f>IF(D52=" "," ",($E$26-$B$3*($F$8))*((D52/($F$8))-($C$18/(PI()))*SIN((PI()*D52)/($F$8)))+$B$3*D52)</f>
        <v>0.828604333657365</v>
      </c>
      <c r="F52" s="31">
        <f t="shared" si="5"/>
        <v>1.07710173226914</v>
      </c>
      <c r="G52" s="31"/>
      <c r="H52" s="31">
        <f t="shared" si="2"/>
        <v>24</v>
      </c>
      <c r="I52" s="31">
        <f>IF(H52=" "," ",($I$26-$D$3*$F$13)*((H52/$F$13)-($C$18/(PI()))*SIN((PI()*H52)/$F$13))+$D$3*H52)</f>
        <v>0.845824090081221</v>
      </c>
      <c r="J52" s="31">
        <f t="shared" si="6"/>
        <v>1.08023701255715</v>
      </c>
      <c r="K52" s="31">
        <f t="shared" si="3"/>
        <v>24</v>
      </c>
      <c r="L52" s="31">
        <f>IF(K52=" "," ",($L$26-$D$3*$F$12)*((K52/$F$12)-($C$18/(PI()))*SIN((PI()*K52)/$F$12))+$D$3*K52)</f>
        <v>0.808991978647883</v>
      </c>
      <c r="M52" s="31">
        <f t="shared" si="7"/>
        <v>1.07721142804876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0.922091503274004</v>
      </c>
      <c r="C53" s="31">
        <f t="shared" si="4"/>
        <v>1.07338944533981</v>
      </c>
      <c r="D53" s="31">
        <f t="shared" si="1"/>
        <v>25</v>
      </c>
      <c r="E53" s="31">
        <f>IF(D53=" "," ",($E$26-$B$3*($F$8))*((D53/($F$8))-($C$18/(PI()))*SIN((PI()*D53)/($F$8)))+$B$3*D53)</f>
        <v>0.922091503274004</v>
      </c>
      <c r="F53" s="31">
        <f t="shared" si="5"/>
        <v>1.07338944533981</v>
      </c>
      <c r="G53" s="31"/>
      <c r="H53" s="31">
        <f t="shared" si="2"/>
        <v>25</v>
      </c>
      <c r="I53" s="31">
        <f>IF(H53=" "," ",($I$26-$D$3*$F$13)*((H53/$F$13)-($C$18/(PI()))*SIN((PI()*H53)/$F$13))+$D$3*H53)</f>
        <v>0.942946749894429</v>
      </c>
      <c r="J53" s="31">
        <f t="shared" si="6"/>
        <v>1.07665831427665</v>
      </c>
      <c r="K53" s="31">
        <f t="shared" si="3"/>
        <v>25</v>
      </c>
      <c r="L53" s="31">
        <f>IF(K53=" "," ",($L$26-$D$3*$F$12)*((K53/$F$12)-($C$18/(PI()))*SIN((PI()*K53)/$F$12))+$D$3*K53)</f>
        <v>0.900149371697678</v>
      </c>
      <c r="M53" s="31">
        <f t="shared" si="7"/>
        <v>1.07352630063611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1.02211466864234</v>
      </c>
      <c r="C54" s="31">
        <f t="shared" si="4"/>
        <v>1.06991329161525</v>
      </c>
      <c r="D54" s="31">
        <f t="shared" si="1"/>
        <v>26</v>
      </c>
      <c r="E54" s="31">
        <f>IF(D54=" "," ",($E$26-$B$3*($F$8))*((D54/($F$8))-($C$18/(PI()))*SIN((PI()*D54)/($F$8)))+$B$3*D54)</f>
        <v>1.02211466864234</v>
      </c>
      <c r="F54" s="31">
        <f t="shared" si="5"/>
        <v>1.06991329161525</v>
      </c>
      <c r="G54" s="31"/>
      <c r="H54" s="31">
        <f t="shared" si="2"/>
        <v>26</v>
      </c>
      <c r="I54" s="31">
        <f>IF(H54=" "," ",($I$26-$D$3*$F$13)*((H54/$F$13)-($C$18/(PI()))*SIN((PI()*H54)/$F$13))+$D$3*H54)</f>
        <v>1.04719012974025</v>
      </c>
      <c r="J54" s="31">
        <f t="shared" si="6"/>
        <v>1.07331677330817</v>
      </c>
      <c r="K54" s="31">
        <f t="shared" si="3"/>
        <v>26</v>
      </c>
      <c r="L54" s="31">
        <f>IF(K54=" "," ",($L$26-$D$3*$F$12)*((K54/$F$12)-($C$18/(PI()))*SIN((PI()*K54)/$F$12))+$D$3*K54)</f>
        <v>0.997694622411817</v>
      </c>
      <c r="M54" s="31">
        <f t="shared" si="7"/>
        <v>1.07007503670991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1.12880440332601</v>
      </c>
      <c r="C55" s="31">
        <f t="shared" si="4"/>
        <v>1.06665025337674</v>
      </c>
      <c r="D55" s="31">
        <f t="shared" si="1"/>
        <v>27</v>
      </c>
      <c r="E55" s="31">
        <f>IF(D55=" "," ",($E$26-$B$3*($F$8))*((D55/($F$8))-($C$18/(PI()))*SIN((PI()*D55)/($F$8)))+$B$3*D55)</f>
        <v>1.12880440332601</v>
      </c>
      <c r="F55" s="31">
        <f t="shared" si="5"/>
        <v>1.06665025337674</v>
      </c>
      <c r="G55" s="31"/>
      <c r="H55" s="31">
        <f t="shared" si="2"/>
        <v>27</v>
      </c>
      <c r="I55" s="31">
        <f>IF(H55=" "," ",($I$26-$D$3*$F$13)*((H55/$F$13)-($C$18/(PI()))*SIN((PI()*H55)/$F$13))+$D$3*H55)</f>
        <v>1.15875029321535</v>
      </c>
      <c r="J55" s="31">
        <f t="shared" si="6"/>
        <v>1.07018943207813</v>
      </c>
      <c r="K55" s="31">
        <f t="shared" si="3"/>
        <v>27</v>
      </c>
      <c r="L55" s="31">
        <f>IF(K55=" "," ",($L$26-$D$3*$F$12)*((K55/$F$12)-($C$18/(PI()))*SIN((PI()*K55)/$F$12))+$D$3*K55)</f>
        <v>1.10175931318513</v>
      </c>
      <c r="M55" s="31">
        <f t="shared" si="7"/>
        <v>1.06683503308918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1.24227746340574</v>
      </c>
      <c r="C56" s="31">
        <f t="shared" si="4"/>
        <v>1.06357992562419</v>
      </c>
      <c r="D56" s="31">
        <f t="shared" si="1"/>
        <v>28</v>
      </c>
      <c r="E56" s="31">
        <f>IF(D56=" "," ",($E$26-$B$3*($F$8))*((D56/($F$8))-($C$18/(PI()))*SIN((PI()*D56)/($F$8)))+$B$3*D56)</f>
        <v>1.24227746340574</v>
      </c>
      <c r="F56" s="31">
        <f t="shared" si="5"/>
        <v>1.06357992562419</v>
      </c>
      <c r="G56" s="31"/>
      <c r="H56" s="31">
        <f t="shared" si="2"/>
        <v>28</v>
      </c>
      <c r="I56" s="31">
        <f>IF(H56=" "," ",($I$26-$D$3*$F$13)*((H56/$F$13)-($C$18/(PI()))*SIN((PI()*H56)/$F$13))+$D$3*H56)</f>
        <v>1.27781354110816</v>
      </c>
      <c r="J56" s="31">
        <f t="shared" si="6"/>
        <v>1.06725594678231</v>
      </c>
      <c r="K56" s="31">
        <f t="shared" si="3"/>
        <v>28</v>
      </c>
      <c r="L56" s="31">
        <f>IF(K56=" "," ",($L$26-$D$3*$F$12)*((K56/$F$12)-($C$18/(PI()))*SIN((PI()*K56)/$F$12))+$D$3*K56)</f>
        <v>1.21246189712778</v>
      </c>
      <c r="M56" s="31">
        <f t="shared" si="7"/>
        <v>1.06378621912984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1.36263654548449</v>
      </c>
      <c r="C57" s="31">
        <f t="shared" si="4"/>
        <v>1.06068420111511</v>
      </c>
      <c r="D57" s="31">
        <f t="shared" si="1"/>
        <v>29</v>
      </c>
      <c r="E57" s="31">
        <f>IF(D57=" "," ",($E$26-$B$3*($F$8))*((D57/($F$8))-($C$18/(PI()))*SIN((PI()*D57)/($F$8)))+$B$3*D57)</f>
        <v>1.36263654548449</v>
      </c>
      <c r="F57" s="31">
        <f t="shared" si="5"/>
        <v>1.06068420111511</v>
      </c>
      <c r="G57" s="31"/>
      <c r="H57" s="31">
        <f t="shared" si="2"/>
        <v>29</v>
      </c>
      <c r="I57" s="31">
        <f>IF(H57=" "," ",($I$26-$D$3*$F$13)*((H57/$F$13)-($C$18/(PI()))*SIN((PI()*H57)/$F$13))+$D$3*H57)</f>
        <v>1.40455616281711</v>
      </c>
      <c r="J57" s="31">
        <f t="shared" si="6"/>
        <v>1.064498272574</v>
      </c>
      <c r="K57" s="31">
        <f t="shared" si="3"/>
        <v>29</v>
      </c>
      <c r="L57" s="31">
        <f>IF(K57=" "," ",($L$26-$D$3*$F$12)*((K57/$F$12)-($C$18/(PI()))*SIN((PI()*K57)/$F$12))+$D$3*K57)</f>
        <v>1.3299074595165</v>
      </c>
      <c r="M57" s="31">
        <f t="shared" si="7"/>
        <v>1.06091075931485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1.4899700738331</v>
      </c>
      <c r="C58" s="31">
        <f t="shared" si="4"/>
        <v>1.057946987875</v>
      </c>
      <c r="D58" s="31">
        <f t="shared" si="1"/>
        <v>30</v>
      </c>
      <c r="E58" s="31">
        <f>IF(D58=" "," ",($E$26-$B$3*($F$8))*((D58/($F$8))-($C$18/(PI()))*SIN((PI()*D58)/($F$8)))+$B$3*D58)</f>
        <v>1.4899700738331</v>
      </c>
      <c r="F58" s="31">
        <f t="shared" si="5"/>
        <v>1.057946987875</v>
      </c>
      <c r="G58" s="31"/>
      <c r="H58" s="31">
        <f t="shared" si="2"/>
        <v>30</v>
      </c>
      <c r="I58" s="31">
        <f>IF(H58=" "," ",($I$26-$D$3*$F$13)*((H58/$F$13)-($C$18/(PI()))*SIN((PI()*H58)/$F$13))+$D$3*H58)</f>
        <v>1.53914420112711</v>
      </c>
      <c r="J58" s="31">
        <f t="shared" si="6"/>
        <v>1.06190038122353</v>
      </c>
      <c r="K58" s="31">
        <f t="shared" si="3"/>
        <v>30</v>
      </c>
      <c r="L58" s="31">
        <f>IF(K58=" "," ",($L$26-$D$3*$F$12)*((K58/$F$12)-($C$18/(PI()))*SIN((PI()*K58)/$F$12))+$D$3*K58)</f>
        <v>1.45418750616679</v>
      </c>
      <c r="M58" s="31">
        <f t="shared" si="7"/>
        <v>1.05819278415087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1.62435201711748</v>
      </c>
      <c r="C59" s="31">
        <f t="shared" si="4"/>
        <v>1.05535395922168</v>
      </c>
      <c r="D59" s="31">
        <f t="shared" si="1"/>
        <v>31</v>
      </c>
      <c r="E59" s="31">
        <f>IF(D59=" "," ",($E$26-$B$3*($F$8))*((D59/($F$8))-($C$18/(PI()))*SIN((PI()*D59)/($F$8)))+$B$3*D59)</f>
        <v>1.62435201711748</v>
      </c>
      <c r="F59" s="31">
        <f t="shared" si="5"/>
        <v>1.05535395922168</v>
      </c>
      <c r="G59" s="31"/>
      <c r="H59" s="31">
        <f t="shared" si="2"/>
        <v>31</v>
      </c>
      <c r="I59" s="31">
        <f>IF(H59=" "," ",($I$26-$D$3*$F$13)*((H59/$F$13)-($C$18/(PI()))*SIN((PI()*H59)/$F$13))+$D$3*H59)</f>
        <v>1.68173323065813</v>
      </c>
      <c r="J59" s="31">
        <f t="shared" si="6"/>
        <v>1.05944801129053</v>
      </c>
      <c r="K59" s="31">
        <f t="shared" si="3"/>
        <v>31</v>
      </c>
      <c r="L59" s="31">
        <f>IF(K59=" "," ",($L$26-$D$3*$F$12)*((K59/$F$12)-($C$18/(PI()))*SIN((PI()*K59)/$F$12))+$D$3*K59)</f>
        <v>1.58537977915239</v>
      </c>
      <c r="M59" s="31">
        <f t="shared" si="7"/>
        <v>1.05561815047242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1.76584173508723</v>
      </c>
      <c r="C60" s="31">
        <f t="shared" si="4"/>
        <v>1.05289233442865</v>
      </c>
      <c r="D60" s="31">
        <f t="shared" si="1"/>
        <v>32</v>
      </c>
      <c r="E60" s="31">
        <f>IF(D60=" "," ",($E$26-$B$3*($F$8))*((D60/($F$8))-($C$18/(PI()))*SIN((PI()*D60)/($F$8)))+$B$3*D60)</f>
        <v>1.76584173508723</v>
      </c>
      <c r="F60" s="31">
        <f t="shared" si="5"/>
        <v>1.05289233442865</v>
      </c>
      <c r="G60" s="31"/>
      <c r="H60" s="31">
        <f t="shared" si="2"/>
        <v>32</v>
      </c>
      <c r="I60" s="31">
        <f>IF(H60=" "," ",($I$26-$D$3*$F$13)*((H60/$F$13)-($C$18/(PI()))*SIN((PI()*H60)/$F$13))+$D$3*H60)</f>
        <v>1.83246815028148</v>
      </c>
      <c r="J60" s="31">
        <f t="shared" si="6"/>
        <v>1.05712844893554</v>
      </c>
      <c r="K60" s="31">
        <f t="shared" si="3"/>
        <v>32</v>
      </c>
      <c r="L60" s="31">
        <f>IF(K60=" "," ",($L$26-$D$3*$F$12)*((K60/$F$12)-($C$18/(PI()))*SIN((PI()*K60)/$F$12))+$D$3*K60)</f>
        <v>1.72354810024311</v>
      </c>
      <c r="M60" s="31">
        <f t="shared" si="7"/>
        <v>1.0531742300546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1.91448385554351</v>
      </c>
      <c r="C61" s="31">
        <f t="shared" si="4"/>
        <v>1.05055068728078</v>
      </c>
      <c r="D61" s="31">
        <f t="shared" si="1"/>
        <v>33</v>
      </c>
      <c r="E61" s="31">
        <f>IF(D61=" "," ",($E$26-$B$3*($F$8))*((D61/($F$8))-($C$18/(PI()))*SIN((PI()*D61)/($F$8)))+$B$3*D61)</f>
        <v>1.91448385554351</v>
      </c>
      <c r="F61" s="31">
        <f t="shared" si="5"/>
        <v>1.05055068728078</v>
      </c>
      <c r="G61" s="31"/>
      <c r="H61" s="31">
        <f t="shared" si="2"/>
        <v>33</v>
      </c>
      <c r="I61" s="31">
        <f>IF(H61=" "," ",($I$26-$D$3*$F$13)*((H61/$F$13)-($C$18/(PI()))*SIN((PI()*H61)/$F$13))+$D$3*H61)</f>
        <v>1.99148298978077</v>
      </c>
      <c r="J61" s="31">
        <f t="shared" si="6"/>
        <v>1.05493033662423</v>
      </c>
      <c r="K61" s="31">
        <f t="shared" si="3"/>
        <v>33</v>
      </c>
      <c r="L61" s="31">
        <f>IF(K61=" "," ",($L$26-$D$3*$F$12)*((K61/$F$12)-($C$18/(PI()))*SIN((PI()*K61)/$F$12))+$D$3*K61)</f>
        <v>1.86874224237626</v>
      </c>
      <c r="M61" s="31">
        <f t="shared" si="7"/>
        <v>1.05084972435775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2.07030818184112</v>
      </c>
      <c r="C62" s="31">
        <f t="shared" si="4"/>
        <v>1.04831877949053</v>
      </c>
      <c r="D62" s="31">
        <f t="shared" si="1"/>
        <v>34</v>
      </c>
      <c r="E62" s="31">
        <f>IF(D62=" "," ",($E$26-$B$3*($F$8))*((D62/($F$8))-($C$18/(PI()))*SIN((PI()*D62)/($F$8)))+$B$3*D62)</f>
        <v>2.07030818184112</v>
      </c>
      <c r="F62" s="31">
        <f t="shared" si="5"/>
        <v>1.04831877949053</v>
      </c>
      <c r="G62" s="31"/>
      <c r="H62" s="31">
        <f t="shared" si="2"/>
        <v>34</v>
      </c>
      <c r="I62" s="31">
        <f>IF(H62=" "," ",($I$26-$D$3*$F$13)*((H62/$F$13)-($C$18/(PI()))*SIN((PI()*H62)/$F$13))+$D$3*H62)</f>
        <v>2.15890073101552</v>
      </c>
      <c r="J62" s="31">
        <f t="shared" si="6"/>
        <v>1.0528435066936</v>
      </c>
      <c r="K62" s="31">
        <f t="shared" si="3"/>
        <v>34</v>
      </c>
      <c r="L62" s="31">
        <f>IF(K62=" "," ",($L$26-$D$3*$F$12)*((K62/$F$12)-($C$18/(PI()))*SIN((PI()*K62)/$F$12))+$D$3*K62)</f>
        <v>2.02099782942061</v>
      </c>
      <c r="M62" s="31">
        <f t="shared" si="7"/>
        <v>1.04863450279359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2.23332963111648</v>
      </c>
      <c r="C63" s="31">
        <f t="shared" si="4"/>
        <v>1.04618741597512</v>
      </c>
      <c r="D63" s="31">
        <f t="shared" si="1"/>
        <v>35</v>
      </c>
      <c r="E63" s="31">
        <f>IF(D63=" "," ",($E$26-$B$3*($F$8))*((D63/($F$8))-($C$18/(PI()))*SIN((PI()*D63)/($F$8)))+$B$3*D63)</f>
        <v>2.23332963111648</v>
      </c>
      <c r="F63" s="31">
        <f t="shared" si="5"/>
        <v>1.04618741597512</v>
      </c>
      <c r="G63" s="31"/>
      <c r="H63" s="31">
        <f t="shared" si="2"/>
        <v>35</v>
      </c>
      <c r="I63" s="31">
        <f>IF(H63=" "," ",($I$26-$D$3*$F$13)*((H63/$F$13)-($C$18/(PI()))*SIN((PI()*H63)/$F$13))+$D$3*H63)</f>
        <v>2.33483314382609</v>
      </c>
      <c r="J63" s="31">
        <f t="shared" si="6"/>
        <v>1.05085883678166</v>
      </c>
      <c r="K63" s="31">
        <f t="shared" si="3"/>
        <v>35</v>
      </c>
      <c r="L63" s="31">
        <f>IF(K63=" "," ",($L$26-$D$3*$F$12)*((K63/$F$12)-($C$18/(PI()))*SIN((PI()*K63)/$F$12))+$D$3*K63)</f>
        <v>2.18033626443459</v>
      </c>
      <c r="M63" s="31">
        <f t="shared" si="7"/>
        <v>1.0465194618282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2.40354820336959</v>
      </c>
      <c r="C64" s="31">
        <f t="shared" si="4"/>
        <v>1.04414831919199</v>
      </c>
      <c r="D64" s="31">
        <f t="shared" si="1"/>
        <v>36</v>
      </c>
      <c r="E64" s="31">
        <f>IF(D64=" "," ",($E$26-$B$3*($F$8))*((D64/($F$8))-($C$18/(PI()))*SIN((PI()*D64)/($F$8)))+$B$3*D64)</f>
        <v>2.40354820336959</v>
      </c>
      <c r="F64" s="31">
        <f t="shared" si="5"/>
        <v>1.04414831919199</v>
      </c>
      <c r="G64" s="31"/>
      <c r="H64" s="31">
        <f t="shared" si="2"/>
        <v>36</v>
      </c>
      <c r="I64" s="31">
        <f>IF(H64=" "," ",($I$26-$D$3*$F$13)*((H64/$F$13)-($C$18/(PI()))*SIN((PI()*H64)/$F$13))+$D$3*H64)</f>
        <v>2.51938063689878</v>
      </c>
      <c r="J64" s="31">
        <f t="shared" si="6"/>
        <v>1.0489681243183</v>
      </c>
      <c r="K64" s="31">
        <f t="shared" si="3"/>
        <v>36</v>
      </c>
      <c r="L64" s="31">
        <f>IF(K64=" "," ",($L$26-$D$3*$F$12)*((K64/$F$12)-($C$18/(PI()))*SIN((PI()*K64)/$F$12))+$D$3*K64)</f>
        <v>2.34676468656346</v>
      </c>
      <c r="M64" s="31">
        <f t="shared" si="7"/>
        <v>1.04449640235431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2.58094898146404</v>
      </c>
      <c r="C65" s="31">
        <f t="shared" si="4"/>
        <v>1.04219401999596</v>
      </c>
      <c r="D65" s="31">
        <f t="shared" si="1"/>
        <v>37</v>
      </c>
      <c r="E65" s="31">
        <f>IF(D65=" "," ",($E$26-$B$3*($F$8))*((D65/($F$8))-($C$18/(PI()))*SIN((PI()*D65)/($F$8)))+$B$3*D65)</f>
        <v>2.58094898146404</v>
      </c>
      <c r="F65" s="31">
        <f t="shared" si="5"/>
        <v>1.04219401999596</v>
      </c>
      <c r="G65" s="31"/>
      <c r="H65" s="31">
        <f t="shared" si="2"/>
        <v>37</v>
      </c>
      <c r="I65" s="31">
        <f>IF(H65=" "," ",($I$26-$D$3*$F$13)*((H65/$F$13)-($C$18/(PI()))*SIN((PI()*H65)/$F$13))+$D$3*H65)</f>
        <v>2.71263212379024</v>
      </c>
      <c r="J65" s="31">
        <f t="shared" si="6"/>
        <v>1.04716397754228</v>
      </c>
      <c r="K65" s="31">
        <f t="shared" si="3"/>
        <v>37</v>
      </c>
      <c r="L65" s="31">
        <f>IF(K65=" "," ",($L$26-$D$3*$F$12)*((K65/$F$12)-($C$18/(PI()))*SIN((PI()*K65)/$F$12))+$D$3*K65)</f>
        <v>2.52027595666198</v>
      </c>
      <c r="M65" s="31">
        <f t="shared" si="7"/>
        <v>1.04255792297398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2.76550216204502</v>
      </c>
      <c r="C66" s="31">
        <f t="shared" si="4"/>
        <v>1.04031776277062</v>
      </c>
      <c r="D66" s="31">
        <f t="shared" si="1"/>
        <v>38</v>
      </c>
      <c r="E66" s="31">
        <f>IF(D66=" "," ",($E$26-$B$3*($F$8))*((D66/($F$8))-($C$18/(PI()))*SIN((PI()*D66)/($F$8)))+$B$3*D66)</f>
        <v>2.76550216204502</v>
      </c>
      <c r="F66" s="31">
        <f t="shared" si="5"/>
        <v>1.04031776277062</v>
      </c>
      <c r="G66" s="31"/>
      <c r="H66" s="31">
        <f t="shared" si="2"/>
        <v>38</v>
      </c>
      <c r="I66" s="31">
        <f>IF(H66=" "," ",($I$26-$D$3*$F$13)*((H66/$F$13)-($C$18/(PI()))*SIN((PI()*H66)/$F$13))+$D$3*H66)</f>
        <v>2.91466490428978</v>
      </c>
      <c r="J66" s="31">
        <f t="shared" si="6"/>
        <v>1.04543972079767</v>
      </c>
      <c r="K66" s="31">
        <f t="shared" si="3"/>
        <v>38</v>
      </c>
      <c r="L66" s="31">
        <f>IF(K66=" "," ",($L$26-$D$3*$F$12)*((K66/$F$12)-($C$18/(PI()))*SIN((PI()*K66)/$F$12))+$D$3*K66)</f>
        <v>2.70084867167168</v>
      </c>
      <c r="M66" s="31">
        <f t="shared" si="7"/>
        <v>1.04069732707954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2.95716311731136</v>
      </c>
      <c r="C67" s="31">
        <f t="shared" si="4"/>
        <v>1.0385134228681</v>
      </c>
      <c r="D67" s="31">
        <f t="shared" si="1"/>
        <v>39</v>
      </c>
      <c r="E67" s="31">
        <f>IF(D67=" "," ",($E$26-$B$3*($F$8))*((D67/($F$8))-($C$18/(PI()))*SIN((PI()*D67)/($F$8)))+$B$3*D67)</f>
        <v>2.95716311731136</v>
      </c>
      <c r="F67" s="31">
        <f t="shared" si="5"/>
        <v>1.0385134228681</v>
      </c>
      <c r="G67" s="31"/>
      <c r="H67" s="31">
        <f t="shared" si="2"/>
        <v>39</v>
      </c>
      <c r="I67" s="31">
        <f>IF(H67=" "," ",($I$26-$D$3*$F$13)*((H67/$F$13)-($C$18/(PI()))*SIN((PI()*H67)/$F$13))+$D$3*H67)</f>
        <v>3.12554456127803</v>
      </c>
      <c r="J67" s="31">
        <f t="shared" si="6"/>
        <v>1.04378931214447</v>
      </c>
      <c r="K67" s="31">
        <f t="shared" si="3"/>
        <v>39</v>
      </c>
      <c r="L67" s="31">
        <f>IF(K67=" "," ",($L$26-$D$3*$F$12)*((K67/$F$12)-($C$18/(PI()))*SIN((PI()*K67)/$F$12))+$D$3*K67)</f>
        <v>2.88844720772381</v>
      </c>
      <c r="M67" s="31">
        <f t="shared" si="7"/>
        <v>1.03890854186947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3.15587248751347</v>
      </c>
      <c r="C68" s="31">
        <f t="shared" si="4"/>
        <v>1.03677543465214</v>
      </c>
      <c r="D68" s="31">
        <f t="shared" si="1"/>
        <v>40</v>
      </c>
      <c r="E68" s="31">
        <f>IF(D68=" "," ",($E$26-$B$3*($F$8))*((D68/($F$8))-($C$18/(PI()))*SIN((PI()*D68)/($F$8)))+$B$3*D68)</f>
        <v>3.15587248751347</v>
      </c>
      <c r="F68" s="31">
        <f t="shared" si="5"/>
        <v>1.03677543465214</v>
      </c>
      <c r="G68" s="31"/>
      <c r="H68" s="31">
        <f t="shared" si="2"/>
        <v>40</v>
      </c>
      <c r="I68" s="31">
        <f>IF(H68=" "," ",($I$26-$D$3*$F$13)*((H68/$F$13)-($C$18/(PI()))*SIN((PI()*H68)/$F$13))+$D$3*H68)</f>
        <v>3.34532487321948</v>
      </c>
      <c r="J68" s="31">
        <f t="shared" si="6"/>
        <v>1.04220727158004</v>
      </c>
      <c r="K68" s="31">
        <f t="shared" si="3"/>
        <v>40</v>
      </c>
      <c r="L68" s="31">
        <f>IF(K68=" "," ",($L$26-$D$3*$F$12)*((K68/$F$12)-($C$18/(PI()))*SIN((PI()*K68)/$F$12))+$D$3*K68)</f>
        <v>3.08302179188107</v>
      </c>
      <c r="M68" s="31">
        <f t="shared" si="7"/>
        <v>1.03718604767353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3.36155630398545</v>
      </c>
      <c r="C69" s="31">
        <f t="shared" si="4"/>
        <v>1.03509872867478</v>
      </c>
      <c r="D69" s="31">
        <f t="shared" si="1"/>
        <v>41</v>
      </c>
      <c r="E69" s="31">
        <f>IF(D69=" "," ",($E$26-$B$3*($F$8))*((D69/($F$8))-($C$18/(PI()))*SIN((PI()*D69)/($F$8)))+$B$3*D69)</f>
        <v>3.36155630398545</v>
      </c>
      <c r="F69" s="31">
        <f t="shared" si="5"/>
        <v>1.03509872867478</v>
      </c>
      <c r="G69" s="31"/>
      <c r="H69" s="31">
        <f t="shared" si="2"/>
        <v>41</v>
      </c>
      <c r="I69" s="31">
        <f>IF(H69=" "," ",($I$26-$D$3*$F$13)*((H69/$F$13)-($C$18/(PI()))*SIN((PI()*H69)/$F$13))+$D$3*H69)</f>
        <v>3.57404774240573</v>
      </c>
      <c r="J69" s="31">
        <f t="shared" si="6"/>
        <v>1.04068861840168</v>
      </c>
      <c r="K69" s="31">
        <f t="shared" si="3"/>
        <v>41</v>
      </c>
      <c r="L69" s="31">
        <f>IF(K69=" "," ",($L$26-$D$3*$F$12)*((K69/$F$12)-($C$18/(PI()))*SIN((PI()*K69)/$F$12))+$D$3*K69)</f>
        <v>3.28450860237365</v>
      </c>
      <c r="M69" s="31">
        <f t="shared" si="7"/>
        <v>1.03552481617912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3.57412614245644</v>
      </c>
      <c r="C70" s="31">
        <f t="shared" si="4"/>
        <v>1.03347867672402</v>
      </c>
      <c r="D70" s="31">
        <f t="shared" si="1"/>
        <v>42</v>
      </c>
      <c r="E70" s="31">
        <f>IF(D70=" "," ",($E$26-$B$3*($F$8))*((D70/($F$8))-($C$18/(PI()))*SIN((PI()*D70)/($F$8)))+$B$3*D70)</f>
        <v>3.57412614245644</v>
      </c>
      <c r="F70" s="31">
        <f t="shared" si="5"/>
        <v>1.03347867672402</v>
      </c>
      <c r="G70" s="31"/>
      <c r="H70" s="31">
        <f t="shared" si="2"/>
        <v>42</v>
      </c>
      <c r="I70" s="31">
        <f>IF(H70=" "," ",($I$26-$D$3*$F$13)*((H70/$F$13)-($C$18/(PI()))*SIN((PI()*H70)/$F$13))+$D$3*H70)</f>
        <v>3.81174313904506</v>
      </c>
      <c r="J70" s="31">
        <f t="shared" si="6"/>
        <v>1.03922881644939</v>
      </c>
      <c r="K70" s="31">
        <f t="shared" si="3"/>
        <v>42</v>
      </c>
      <c r="L70" s="31">
        <f>IF(K70=" "," ",($L$26-$D$3*$F$12)*((K70/$F$12)-($C$18/(PI()))*SIN((PI()*K70)/$F$12))+$D$3*K70)</f>
        <v>3.49282989712778</v>
      </c>
      <c r="M70" s="31">
        <f t="shared" si="7"/>
        <v>1.03392025634262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3.7934793063235</v>
      </c>
      <c r="C71" s="31">
        <f t="shared" si="4"/>
        <v>1.03191104365908</v>
      </c>
      <c r="D71" s="31">
        <f t="shared" si="1"/>
        <v>43</v>
      </c>
      <c r="E71" s="31">
        <f>IF(D71=" "," ",($E$26-$B$3*($F$8))*((D71/($F$8))-($C$18/(PI()))*SIN((PI()*D71)/($F$8)))+$B$3*D71)</f>
        <v>3.7934793063235</v>
      </c>
      <c r="F71" s="31">
        <f t="shared" si="5"/>
        <v>1.03191104365908</v>
      </c>
      <c r="G71" s="31"/>
      <c r="H71" s="31">
        <f t="shared" si="2"/>
        <v>43</v>
      </c>
      <c r="I71" s="31">
        <f>IF(H71=" "," ",($I$26-$D$3*$F$13)*((H71/$F$13)-($C$18/(PI()))*SIN((PI()*H71)/$F$13))+$D$3*H71)</f>
        <v>4.05842906127316</v>
      </c>
      <c r="J71" s="31">
        <f t="shared" si="6"/>
        <v>1.03782372614647</v>
      </c>
      <c r="K71" s="31">
        <f t="shared" si="3"/>
        <v>43</v>
      </c>
      <c r="L71" s="31">
        <f>IF(K71=" "," ",($L$26-$D$3*$F$12)*((K71/$F$12)-($C$18/(PI()))*SIN((PI()*K71)/$F$12))+$D$3*K71)</f>
        <v>3.70789417032799</v>
      </c>
      <c r="M71" s="31">
        <f t="shared" si="7"/>
        <v>1.03236816694147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4.01949903950589</v>
      </c>
      <c r="C72" s="31">
        <f t="shared" si="4"/>
        <v>1.03039194510721</v>
      </c>
      <c r="D72" s="31">
        <f t="shared" si="1"/>
        <v>44</v>
      </c>
      <c r="E72" s="31">
        <f>IF(D72=" "," ",($E$26-$B$3*($F$8))*((D72/($F$8))-($C$18/(PI()))*SIN((PI()*D72)/($F$8)))+$B$3*D72)</f>
        <v>4.01949903950589</v>
      </c>
      <c r="F72" s="31">
        <f t="shared" si="5"/>
        <v>1.03039194510721</v>
      </c>
      <c r="G72" s="31"/>
      <c r="H72" s="31">
        <f t="shared" si="2"/>
        <v>44</v>
      </c>
      <c r="I72" s="31">
        <f>IF(H72=" "," ",($I$26-$D$3*$F$13)*((H72/$F$13)-($C$18/(PI()))*SIN((PI()*H72)/$F$13))+$D$3*H72)</f>
        <v>4.31411151113809</v>
      </c>
      <c r="J72" s="31">
        <f t="shared" si="6"/>
        <v>1.0364695624119</v>
      </c>
      <c r="K72" s="31">
        <f t="shared" si="3"/>
        <v>44</v>
      </c>
      <c r="L72" s="31">
        <f>IF(K72=" "," ",($L$26-$D$3*$F$12)*((K72/$F$12)-($C$18/(PI()))*SIN((PI()*K72)/$F$12))+$D$3*K72)</f>
        <v>3.92959633669753</v>
      </c>
      <c r="M72" s="31">
        <f t="shared" si="7"/>
        <v>1.03086469486805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4.25205476843997</v>
      </c>
      <c r="C73" s="31">
        <f t="shared" si="4"/>
        <v>1.02891781022687</v>
      </c>
      <c r="D73" s="31">
        <f t="shared" si="1"/>
        <v>45</v>
      </c>
      <c r="E73" s="31">
        <f>IF(D73=" "," ",($E$26-$B$3*($F$8))*((D73/($F$8))-($C$18/(PI()))*SIN((PI()*D73)/($F$8)))+$B$3*D73)</f>
        <v>4.25205476843997</v>
      </c>
      <c r="F73" s="31">
        <f t="shared" si="5"/>
        <v>1.02891781022687</v>
      </c>
      <c r="G73" s="31"/>
      <c r="H73" s="31">
        <f t="shared" si="2"/>
        <v>45</v>
      </c>
      <c r="I73" s="31">
        <f>IF(H73=" "," ",($I$26-$D$3*$F$13)*((H73/$F$13)-($C$18/(PI()))*SIN((PI()*H73)/$F$13))+$D$3*H73)</f>
        <v>4.57878448659178</v>
      </c>
      <c r="J73" s="31">
        <f t="shared" si="6"/>
        <v>1.03516285765219</v>
      </c>
      <c r="K73" s="31">
        <f t="shared" si="3"/>
        <v>45</v>
      </c>
      <c r="L73" s="31">
        <f>IF(K73=" "," ",($L$26-$D$3*$F$12)*((K73/$F$12)-($C$18/(PI()))*SIN((PI()*K73)/$F$12))+$D$3*K73)</f>
        <v>4.15781794312625</v>
      </c>
      <c r="M73" s="31">
        <f t="shared" si="7"/>
        <v>1.02940629839542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4.49100237271282</v>
      </c>
      <c r="C74" s="31">
        <f t="shared" si="4"/>
        <v>1.02748534885834</v>
      </c>
      <c r="D74" s="31">
        <f t="shared" si="1"/>
        <v>46</v>
      </c>
      <c r="E74" s="31">
        <f>IF(D74=" "," ",($E$26-$B$3*($F$8))*((D74/($F$8))-($C$18/(PI()))*SIN((PI()*D74)/($F$8)))+$B$3*D74)</f>
        <v>4.49100237271282</v>
      </c>
      <c r="F74" s="31">
        <f t="shared" si="5"/>
        <v>1.02748534885834</v>
      </c>
      <c r="G74" s="31"/>
      <c r="H74" s="31">
        <f t="shared" si="2"/>
        <v>46</v>
      </c>
      <c r="I74" s="31">
        <f>IF(H74=" "," ",($I$26-$D$3*$F$13)*((H74/$F$13)-($C$18/(PI()))*SIN((PI()*H74)/$F$13))+$D$3*H74)</f>
        <v>4.85242998949855</v>
      </c>
      <c r="J74" s="31">
        <f t="shared" si="6"/>
        <v>1.03390042915301</v>
      </c>
      <c r="K74" s="31">
        <f t="shared" si="3"/>
        <v>46</v>
      </c>
      <c r="L74" s="31">
        <f>IF(K74=" "," ",($L$26-$D$3*$F$12)*((K74/$F$12)-($C$18/(PI()))*SIN((PI()*K74)/$F$12))+$D$3*K74)</f>
        <v>4.39242740721931</v>
      </c>
      <c r="M74" s="31">
        <f t="shared" si="7"/>
        <v>1.0279897147527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4.73618448377377</v>
      </c>
      <c r="C75" s="31">
        <f t="shared" si="4"/>
        <v>1.02609152247867</v>
      </c>
      <c r="D75" s="31">
        <f t="shared" si="1"/>
        <v>47</v>
      </c>
      <c r="E75" s="31">
        <f>IF(D75=" "," ",($E$26-$B$3*($F$8))*((D75/($F$8))-($C$18/(PI()))*SIN((PI()*D75)/($F$8)))+$B$3*D75)</f>
        <v>4.73618448377377</v>
      </c>
      <c r="F75" s="31">
        <f t="shared" si="5"/>
        <v>1.02609152247867</v>
      </c>
      <c r="G75" s="31"/>
      <c r="H75" s="31">
        <f t="shared" si="2"/>
        <v>47</v>
      </c>
      <c r="I75" s="31">
        <f>IF(H75=" "," ",($I$26-$D$3*$F$13)*((H75/$F$13)-($C$18/(PI()))*SIN((PI()*H75)/$F$13))+$D$3*H75)</f>
        <v>5.13501804965012</v>
      </c>
      <c r="J75" s="31">
        <f t="shared" si="6"/>
        <v>1.03267935029005</v>
      </c>
      <c r="K75" s="31">
        <f t="shared" si="3"/>
        <v>47</v>
      </c>
      <c r="L75" s="31">
        <f>IF(K75=" "," ",($L$26-$D$3*$F$12)*((K75/$F$12)-($C$18/(PI()))*SIN((PI()*K75)/$F$12))+$D$3*K75)</f>
        <v>4.63328028228667</v>
      </c>
      <c r="M75" s="31">
        <f t="shared" si="7"/>
        <v>1.02661193144287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4.98743081110481</v>
      </c>
      <c r="C76" s="31">
        <f t="shared" si="4"/>
        <v>1.0247335184604</v>
      </c>
      <c r="D76" s="31">
        <f t="shared" si="1"/>
        <v>48</v>
      </c>
      <c r="E76" s="31">
        <f>IF(D76=" "," ",($E$26-$B$3*($F$8))*((D76/($F$8))-($C$18/(PI()))*SIN((PI()*D76)/($F$8)))+$B$3*D76)</f>
        <v>4.98743081110481</v>
      </c>
      <c r="F76" s="31">
        <f t="shared" si="5"/>
        <v>1.0247335184604</v>
      </c>
      <c r="G76" s="31"/>
      <c r="H76" s="31">
        <f t="shared" si="2"/>
        <v>48</v>
      </c>
      <c r="I76" s="31">
        <f>IF(H76=" "," ",($I$26-$D$3*$F$13)*((H76/$F$13)-($C$18/(PI()))*SIN((PI()*H76)/$F$13))+$D$3*H76)</f>
        <v>5.42650676475489</v>
      </c>
      <c r="J76" s="31">
        <f t="shared" si="6"/>
        <v>1.03149692505917</v>
      </c>
      <c r="K76" s="31">
        <f t="shared" si="3"/>
        <v>48</v>
      </c>
      <c r="L76" s="31">
        <f>IF(K76=" "," ",($L$26-$D$3*$F$12)*((K76/$F$12)-($C$18/(PI()))*SIN((PI()*K76)/$F$12))+$D$3*K76)</f>
        <v>4.88021954823945</v>
      </c>
      <c r="M76" s="31">
        <f t="shared" si="7"/>
        <v>1.02527016081385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5.24455849517365</v>
      </c>
      <c r="C77" s="31">
        <f t="shared" si="4"/>
        <v>1.0234087272052</v>
      </c>
      <c r="D77" s="31">
        <f t="shared" si="1"/>
        <v>49</v>
      </c>
      <c r="E77" s="31">
        <f>IF(D77=" "," ",($E$26-$B$3*($F$8))*((D77/($F$8))-($C$18/(PI()))*SIN((PI()*D77)/($F$8)))+$B$3*D77)</f>
        <v>5.24455849517365</v>
      </c>
      <c r="F77" s="31">
        <f t="shared" si="5"/>
        <v>1.0234087272052</v>
      </c>
      <c r="G77" s="31"/>
      <c r="H77" s="31">
        <f t="shared" si="2"/>
        <v>49</v>
      </c>
      <c r="I77" s="31">
        <f>IF(H77=" "," ",($I$26-$D$3*$F$13)*((H77/$F$13)-($C$18/(PI()))*SIN((PI()*H77)/$F$13))+$D$3*H77)</f>
        <v>5.72684235634838</v>
      </c>
      <c r="J77" s="31">
        <f t="shared" si="6"/>
        <v>1.03035066549843</v>
      </c>
      <c r="K77" s="31">
        <f t="shared" si="3"/>
        <v>49</v>
      </c>
      <c r="L77" s="31">
        <f>IF(K77=" "," ",($L$26-$D$3*$F$12)*((K77/$F$12)-($C$18/(PI()))*SIN((PI()*K77)/$F$12))+$D$3*K77)</f>
        <v>5.13307592780755</v>
      </c>
      <c r="M77" s="31">
        <f t="shared" si="7"/>
        <v>1.02396181746343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5.50737248643805</v>
      </c>
      <c r="C78" s="31">
        <f t="shared" si="4"/>
        <v>1.02211472178169</v>
      </c>
      <c r="D78" s="31">
        <f t="shared" si="1"/>
        <v>50</v>
      </c>
      <c r="E78" s="31">
        <f>IF(D78=" "," ",($E$26-$B$3*($F$8))*((D78/($F$8))-($C$18/(PI()))*SIN((PI()*D78)/($F$8)))+$B$3*D78)</f>
        <v>5.50737248643805</v>
      </c>
      <c r="F78" s="31">
        <f t="shared" si="5"/>
        <v>1.02211472178169</v>
      </c>
      <c r="G78" s="31"/>
      <c r="H78" s="31">
        <f t="shared" si="2"/>
        <v>50</v>
      </c>
      <c r="I78" s="31">
        <f>IF(H78=" "," ",($I$26-$D$3*$F$13)*((H78/$F$13)-($C$18/(PI()))*SIN((PI()*H78)/$F$13))+$D$3*H78)</f>
        <v>6.03595924154995</v>
      </c>
      <c r="J78" s="31">
        <f t="shared" si="6"/>
        <v>1.02923827163304</v>
      </c>
      <c r="K78" s="31">
        <f t="shared" si="3"/>
        <v>50</v>
      </c>
      <c r="L78" s="31">
        <f>IF(K78=" "," ",($L$26-$D$3*$F$12)*((K78/$F$12)-($C$18/(PI()))*SIN((PI()*K78)/$F$12))+$D$3*K78)</f>
        <v>5.39166822744149</v>
      </c>
      <c r="M78" s="31">
        <f t="shared" si="7"/>
        <v>1.02268449811566</v>
      </c>
    </row>
    <row r="79" spans="1:13">
      <c r="A79" s="31">
        <f t="shared" si="0"/>
        <v>51</v>
      </c>
      <c r="B79" s="31">
        <f>IF(A79=" "," ",($B$26-$B$3*($F$9))*((A79/($F$9))-($C$18/(PI()))*SIN((PI()*A79)/($F$9)))+$B$3*A79)</f>
        <v>5.77566594961575</v>
      </c>
      <c r="C79" s="31">
        <f t="shared" si="4"/>
        <v>1.02084923974915</v>
      </c>
      <c r="D79" s="31">
        <f t="shared" si="1"/>
        <v>51</v>
      </c>
      <c r="E79" s="31">
        <f>IF(D79=" "," ",($E$26-$B$3*($F$8))*((D79/($F$8))-($C$18/(PI()))*SIN((PI()*D79)/($F$8)))+$B$3*D79)</f>
        <v>5.77566594961575</v>
      </c>
      <c r="F79" s="31">
        <f t="shared" si="5"/>
        <v>1.02084923974915</v>
      </c>
      <c r="G79" s="31"/>
      <c r="H79" s="31">
        <f t="shared" si="2"/>
        <v>51</v>
      </c>
      <c r="I79" s="31">
        <f>IF(H79=" "," ",($I$26-$D$3*$F$13)*((H79/$F$13)-($C$18/(PI()))*SIN((PI()*H79)/$F$13))+$D$3*H79)</f>
        <v>6.35378012057028</v>
      </c>
      <c r="J79" s="31">
        <f t="shared" si="6"/>
        <v>1.02815761362596</v>
      </c>
      <c r="K79" s="31">
        <f t="shared" si="3"/>
        <v>51</v>
      </c>
      <c r="L79" s="31">
        <f>IF(K79=" "," ",($L$26-$D$3*$F$12)*((K79/$F$12)-($C$18/(PI()))*SIN((PI()*K79)/$F$12))+$D$3*K79)</f>
        <v>5.65580370221215</v>
      </c>
      <c r="M79" s="31">
        <f t="shared" si="7"/>
        <v>1.02143596365615</v>
      </c>
    </row>
    <row r="80" spans="1:13">
      <c r="A80" s="31">
        <f t="shared" si="0"/>
        <v>52</v>
      </c>
      <c r="B80" s="31">
        <f>IF(A80=" "," ",($B$26-$B$3*($F$9))*((A80/($F$9))-($C$18/(PI()))*SIN((PI()*A80)/($F$9)))+$B$3*A80)</f>
        <v>6.04922069238221</v>
      </c>
      <c r="C80" s="31">
        <f t="shared" si="4"/>
        <v>1.01961016689134</v>
      </c>
      <c r="D80" s="31">
        <f t="shared" si="1"/>
        <v>52</v>
      </c>
      <c r="E80" s="31">
        <f>IF(D80=" "," ",($E$26-$B$3*($F$8))*((D80/($F$8))-($C$18/(PI()))*SIN((PI()*D80)/($F$8)))+$B$3*D80)</f>
        <v>6.04922069238221</v>
      </c>
      <c r="F80" s="31">
        <f t="shared" si="5"/>
        <v>1.01961016689134</v>
      </c>
      <c r="G80" s="31"/>
      <c r="H80" s="31">
        <f t="shared" si="2"/>
        <v>52</v>
      </c>
      <c r="I80" s="31">
        <f>IF(H80=" "," ",($I$26-$D$3*$F$13)*((H80/$F$13)-($C$18/(PI()))*SIN((PI()*H80)/$F$13))+$D$3*H80)</f>
        <v>6.68021607985273</v>
      </c>
      <c r="J80" s="31">
        <f t="shared" si="6"/>
        <v>1.02710671586046</v>
      </c>
      <c r="K80" s="31">
        <f t="shared" si="3"/>
        <v>52</v>
      </c>
      <c r="L80" s="31">
        <f>IF(K80=" "," ",($L$26-$D$3*$F$12)*((K80/$F$12)-($C$18/(PI()))*SIN((PI()*K80)/$F$12))+$D$3*K80)</f>
        <v>5.92527844397336</v>
      </c>
      <c r="M80" s="31">
        <f t="shared" si="7"/>
        <v>1.02021412305633</v>
      </c>
    </row>
    <row r="81" spans="1:13">
      <c r="A81" s="31">
        <f t="shared" si="0"/>
        <v>53</v>
      </c>
      <c r="B81" s="31">
        <f>IF(A81=" "," ",($B$26-$B$3*($F$9))*((A81/($F$9))-($C$18/(PI()))*SIN((PI()*A81)/($F$9)))+$B$3*A81)</f>
        <v>6.32780761760753</v>
      </c>
      <c r="C81" s="31">
        <f t="shared" si="4"/>
        <v>1.01839552262175</v>
      </c>
      <c r="D81" s="31">
        <f t="shared" si="1"/>
        <v>53</v>
      </c>
      <c r="E81" s="31">
        <f>IF(D81=" "," ",($E$26-$B$3*($F$8))*((D81/($F$8))-($C$18/(PI()))*SIN((PI()*D81)/($F$8)))+$B$3*D81)</f>
        <v>6.32780761760753</v>
      </c>
      <c r="F81" s="31">
        <f t="shared" si="5"/>
        <v>1.01839552262175</v>
      </c>
      <c r="G81" s="31"/>
      <c r="H81" s="31">
        <f t="shared" si="2"/>
        <v>53</v>
      </c>
      <c r="I81" s="31">
        <f>IF(H81=" "," ",($I$26-$D$3*$F$13)*((H81/$F$13)-($C$18/(PI()))*SIN((PI()*H81)/$F$13))+$D$3*H81)</f>
        <v>7.015166710711</v>
      </c>
      <c r="J81" s="31">
        <f t="shared" si="6"/>
        <v>1.02608374271796</v>
      </c>
      <c r="K81" s="31">
        <f t="shared" si="3"/>
        <v>53</v>
      </c>
      <c r="L81" s="31">
        <f>IF(K81=" "," ",($L$26-$D$3*$F$12)*((K81/$F$12)-($C$18/(PI()))*SIN((PI()*K81)/$F$12))+$D$3*K81)</f>
        <v>6.19987779200581</v>
      </c>
      <c r="M81" s="31">
        <f t="shared" si="7"/>
        <v>1.01901701895232</v>
      </c>
    </row>
    <row r="82" spans="1:13">
      <c r="A82" s="31">
        <f t="shared" si="0"/>
        <v>54</v>
      </c>
      <c r="B82" s="31">
        <f>IF(A82=" "," ",($B$26-$B$3*($F$9))*((A82/($F$9))-($C$18/(PI()))*SIN((PI()*A82)/($F$9)))+$B$3*A82)</f>
        <v>6.61118719819518</v>
      </c>
      <c r="C82" s="31">
        <f t="shared" si="4"/>
        <v>1.01720344685402</v>
      </c>
      <c r="D82" s="31">
        <f t="shared" si="1"/>
        <v>54</v>
      </c>
      <c r="E82" s="31">
        <f>IF(D82=" "," ",($E$26-$B$3*($F$8))*((D82/($F$8))-($C$18/(PI()))*SIN((PI()*D82)/($F$8)))+$B$3*D82)</f>
        <v>6.61118719819518</v>
      </c>
      <c r="F82" s="31">
        <f t="shared" si="5"/>
        <v>1.01720344685402</v>
      </c>
      <c r="G82" s="31"/>
      <c r="H82" s="31">
        <f t="shared" si="2"/>
        <v>54</v>
      </c>
      <c r="I82" s="31">
        <f>IF(H82=" "," ",($I$26-$D$3*$F$13)*((H82/$F$13)-($C$18/(PI()))*SIN((PI()*H82)/$F$13))+$D$3*H82)</f>
        <v>7.35852024330474</v>
      </c>
      <c r="J82" s="31">
        <f t="shared" si="6"/>
        <v>1.02508698584604</v>
      </c>
      <c r="K82" s="31">
        <f t="shared" si="3"/>
        <v>54</v>
      </c>
      <c r="L82" s="31">
        <f>IF(K82=" "," ",($L$26-$D$3*$F$12)*((K82/$F$12)-($C$18/(PI()))*SIN((PI()*K82)/$F$12))+$D$3*K82)</f>
        <v>6.47937676531516</v>
      </c>
      <c r="M82" s="31">
        <f t="shared" si="7"/>
        <v>1.01784281467529</v>
      </c>
    </row>
    <row r="83" spans="1:13">
      <c r="A83" s="31">
        <f t="shared" si="0"/>
        <v>55</v>
      </c>
      <c r="B83" s="31">
        <f>IF(A83=" "," ",($B$26-$B$3*($F$9))*((A83/($F$9))-($C$18/(PI()))*SIN((PI()*A83)/($F$9)))+$B$3*A83)</f>
        <v>6.89910997353856</v>
      </c>
      <c r="C83" s="31">
        <f t="shared" si="4"/>
        <v>1.0160321881566</v>
      </c>
      <c r="D83" s="31">
        <f t="shared" si="1"/>
        <v>55</v>
      </c>
      <c r="E83" s="31">
        <f>IF(D83=" "," ",($E$26-$B$3*($F$8))*((D83/($F$8))-($C$18/(PI()))*SIN((PI()*D83)/($F$8)))+$B$3*D83)</f>
        <v>6.89910997353856</v>
      </c>
      <c r="F83" s="31">
        <f t="shared" si="5"/>
        <v>1.0160321881566</v>
      </c>
      <c r="G83" s="31"/>
      <c r="H83" s="31">
        <f t="shared" si="2"/>
        <v>55</v>
      </c>
      <c r="I83" s="31">
        <f>IF(H83=" "," ",($I$26-$D$3*$F$13)*((H83/$F$13)-($C$18/(PI()))*SIN((PI()*H83)/$F$13))+$D$3*H83)</f>
        <v>7.71015369577441</v>
      </c>
      <c r="J83" s="31">
        <f t="shared" si="6"/>
        <v>1.02411485273907</v>
      </c>
      <c r="K83" s="31">
        <f t="shared" si="3"/>
        <v>55</v>
      </c>
      <c r="L83" s="31">
        <f>IF(K83=" "," ",($L$26-$D$3*$F$12)*((K83/$F$12)-($C$18/(PI()))*SIN((PI()*K83)/$F$12))+$D$3*K83)</f>
        <v>6.76354051571381</v>
      </c>
      <c r="M83" s="31">
        <f t="shared" si="7"/>
        <v>1.0166897825565</v>
      </c>
    </row>
    <row r="84" spans="1:13">
      <c r="A84" s="31">
        <f t="shared" si="0"/>
        <v>56</v>
      </c>
      <c r="B84" s="31">
        <f>IF(A84=" "," ",($B$26-$B$3*($F$9))*((A84/($F$9))-($C$18/(PI()))*SIN((PI()*A84)/($F$9)))+$B$3*A84)</f>
        <v>7.19131706656613</v>
      </c>
      <c r="C84" s="31">
        <f t="shared" si="4"/>
        <v>1.01488009303565</v>
      </c>
      <c r="D84" s="31">
        <f t="shared" si="1"/>
        <v>56</v>
      </c>
      <c r="E84" s="31">
        <f>IF(D84=" "," ",($E$26-$B$3*($F$8))*((D84/($F$8))-($C$18/(PI()))*SIN((PI()*D84)/($F$8)))+$B$3*D84)</f>
        <v>7.19131706656613</v>
      </c>
      <c r="F84" s="31">
        <f t="shared" si="5"/>
        <v>1.01488009303565</v>
      </c>
      <c r="G84" s="31"/>
      <c r="H84" s="31">
        <f t="shared" si="2"/>
        <v>56</v>
      </c>
      <c r="I84" s="31">
        <f>IF(H84=" "," ",($I$26-$D$3*$F$13)*((H84/$F$13)-($C$18/(PI()))*SIN((PI()*H84)/$F$13))+$D$3*H84)</f>
        <v>8.06993303833641</v>
      </c>
      <c r="J84" s="31">
        <f t="shared" si="6"/>
        <v>1.02316585647673</v>
      </c>
      <c r="K84" s="31">
        <f t="shared" si="3"/>
        <v>56</v>
      </c>
      <c r="L84" s="31">
        <f>IF(K84=" "," ",($L$26-$D$3*$F$12)*((K84/$F$12)-($C$18/(PI()))*SIN((PI()*K84)/$F$12))+$D$3*K84)</f>
        <v>7.05212480077391</v>
      </c>
      <c r="M84" s="31">
        <f t="shared" si="7"/>
        <v>1.01555629335284</v>
      </c>
    </row>
    <row r="85" spans="1:13">
      <c r="A85" s="31">
        <f t="shared" si="0"/>
        <v>57</v>
      </c>
      <c r="B85" s="31">
        <f>IF(A85=" "," ",($B$26-$B$3*($F$9))*((A85/($F$9))-($C$18/(PI()))*SIN((PI()*A85)/($F$9)))+$B$3*A85)</f>
        <v>7.48754072030372</v>
      </c>
      <c r="C85" s="31">
        <f t="shared" si="4"/>
        <v>1.01374559620852</v>
      </c>
      <c r="D85" s="31">
        <f t="shared" si="1"/>
        <v>57</v>
      </c>
      <c r="E85" s="31">
        <f>IF(D85=" "," ",($E$26-$B$3*($F$8))*((D85/($F$8))-($C$18/(PI()))*SIN((PI()*D85)/($F$8)))+$B$3*D85)</f>
        <v>7.48754072030372</v>
      </c>
      <c r="F85" s="31">
        <f t="shared" si="5"/>
        <v>1.01374559620852</v>
      </c>
      <c r="G85" s="31"/>
      <c r="H85" s="31">
        <f t="shared" si="2"/>
        <v>57</v>
      </c>
      <c r="I85" s="31">
        <f>IF(H85=" "," ",($I$26-$D$3*$F$13)*((H85/$F$13)-($C$18/(PI()))*SIN((PI()*H85)/$F$13))+$D$3*H85)</f>
        <v>8.43771337211943</v>
      </c>
      <c r="J85" s="31">
        <f t="shared" si="6"/>
        <v>1.02223860648598</v>
      </c>
      <c r="K85" s="31">
        <f t="shared" si="3"/>
        <v>57</v>
      </c>
      <c r="L85" s="31">
        <f>IF(K85=" "," ",($L$26-$D$3*$F$12)*((K85/$F$12)-($C$18/(PI()))*SIN((PI()*K85)/$F$12))+$D$3*K85)</f>
        <v>7.34487647569908</v>
      </c>
      <c r="M85" s="31">
        <f t="shared" si="7"/>
        <v>1.01444080665795</v>
      </c>
    </row>
    <row r="86" spans="1:13">
      <c r="A86" s="31">
        <f t="shared" si="0"/>
        <v>58</v>
      </c>
      <c r="B86" s="31">
        <f>IF(A86=" "," ",($B$26-$B$3*($F$9))*((A86/($F$9))-($C$18/(PI()))*SIN((PI()*A86)/($F$9)))+$B$3*A86)</f>
        <v>7.78750485284174</v>
      </c>
      <c r="C86" s="31">
        <f t="shared" si="4"/>
        <v>1.01262721174773</v>
      </c>
      <c r="D86" s="31">
        <f t="shared" si="1"/>
        <v>58</v>
      </c>
      <c r="E86" s="31">
        <f>IF(D86=" "," ",($E$26-$B$3*($F$8))*((D86/($F$8))-($C$18/(PI()))*SIN((PI()*D86)/($F$8)))+$B$3*D86)</f>
        <v>7.78750485284174</v>
      </c>
      <c r="F86" s="31">
        <f t="shared" si="5"/>
        <v>1.01262721174773</v>
      </c>
      <c r="G86" s="31"/>
      <c r="H86" s="31">
        <f t="shared" si="2"/>
        <v>58</v>
      </c>
      <c r="I86" s="31">
        <f>IF(H86=" "," ",($I$26-$D$3*$F$13)*((H86/$F$13)-($C$18/(PI()))*SIN((PI()*H86)/$F$13))+$D$3*H86)</f>
        <v>8.81333912250351</v>
      </c>
      <c r="J86" s="31">
        <f t="shared" si="6"/>
        <v>1.02133180020899</v>
      </c>
      <c r="K86" s="31">
        <f t="shared" si="3"/>
        <v>58</v>
      </c>
      <c r="L86" s="31">
        <f>IF(K86=" "," ",($L$26-$D$3*$F$12)*((K86/$F$12)-($C$18/(PI()))*SIN((PI()*K86)/$F$12))+$D$3*K86)</f>
        <v>7.64153400312437</v>
      </c>
      <c r="M86" s="31">
        <f t="shared" si="7"/>
        <v>1.01334186218106</v>
      </c>
    </row>
    <row r="87" spans="1:13">
      <c r="A87" s="31">
        <f t="shared" si="0"/>
        <v>59</v>
      </c>
      <c r="B87" s="31">
        <f>IF(A87=" "," ",($B$26-$B$3*($F$9))*((A87/($F$9))-($C$18/(PI()))*SIN((PI()*A87)/($F$9)))+$B$3*A87)</f>
        <v>8.09092562955709</v>
      </c>
      <c r="C87" s="31">
        <f t="shared" si="4"/>
        <v>1.01152352498972</v>
      </c>
      <c r="D87" s="31">
        <f t="shared" si="1"/>
        <v>59</v>
      </c>
      <c r="E87" s="31">
        <f>IF(D87=" "," ",($E$26-$B$3*($F$8))*((D87/($F$8))-($C$18/(PI()))*SIN((PI()*D87)/($F$8)))+$B$3*D87)</f>
        <v>8.09092562955709</v>
      </c>
      <c r="F87" s="31">
        <f t="shared" si="5"/>
        <v>1.01152352498972</v>
      </c>
      <c r="G87" s="31"/>
      <c r="H87" s="31">
        <f t="shared" si="2"/>
        <v>59</v>
      </c>
      <c r="I87" s="31">
        <f>IF(H87=" "," ",($I$26-$D$3*$F$13)*((H87/$F$13)-($C$18/(PI()))*SIN((PI()*H87)/$F$13))+$D$3*H87)</f>
        <v>9.19664424670372</v>
      </c>
      <c r="J87" s="31">
        <f t="shared" si="6"/>
        <v>1.02044421557437</v>
      </c>
      <c r="K87" s="31">
        <f t="shared" si="3"/>
        <v>59</v>
      </c>
      <c r="L87" s="31">
        <f>IF(K87=" "," ",($L$26-$D$3*$F$12)*((K87/$F$12)-($C$18/(PI()))*SIN((PI()*K87)/$F$12))+$D$3*K87)</f>
        <v>7.94182797981771</v>
      </c>
      <c r="M87" s="31">
        <f t="shared" si="7"/>
        <v>1.0122580717894</v>
      </c>
    </row>
    <row r="88" spans="1:13">
      <c r="A88" s="31">
        <f t="shared" si="0"/>
        <v>60</v>
      </c>
      <c r="B88" s="31">
        <f>IF(A88=" "," ",($B$26-$B$3*($F$9))*((A88/($F$9))-($C$18/(PI()))*SIN((PI()*A88)/($F$9)))+$B$3*A88)</f>
        <v>8.39751205140374</v>
      </c>
      <c r="C88" s="31">
        <f t="shared" si="4"/>
        <v>1.01043318511532</v>
      </c>
      <c r="D88" s="31">
        <f t="shared" si="1"/>
        <v>60</v>
      </c>
      <c r="E88" s="31">
        <f>IF(D88=" "," ",($E$26-$B$3*($F$8))*((D88/($F$8))-($C$18/(PI()))*SIN((PI()*D88)/($F$8)))+$B$3*D88)</f>
        <v>8.39751205140374</v>
      </c>
      <c r="F88" s="31">
        <f t="shared" si="5"/>
        <v>1.01043318511532</v>
      </c>
      <c r="G88" s="31"/>
      <c r="H88" s="31">
        <f t="shared" si="2"/>
        <v>60</v>
      </c>
      <c r="I88" s="31">
        <f>IF(H88=" "," ",($I$26-$D$3*$F$13)*((H88/$F$13)-($C$18/(PI()))*SIN((PI()*H88)/$F$13))+$D$3*H88)</f>
        <v>9.58745245532164</v>
      </c>
      <c r="J88" s="31">
        <f t="shared" si="6"/>
        <v>1.01957470418211</v>
      </c>
      <c r="K88" s="31">
        <f t="shared" si="3"/>
        <v>60</v>
      </c>
      <c r="L88" s="31">
        <f>IF(K88=" "," ",($L$26-$D$3*$F$12)*((K88/$F$12)-($C$18/(PI()))*SIN((PI()*K88)/$F$12))+$D$3*K88)</f>
        <v>8.24548167922213</v>
      </c>
      <c r="M88" s="31">
        <f t="shared" si="7"/>
        <v>1.01118811222282</v>
      </c>
    </row>
    <row r="89" spans="1:13">
      <c r="A89" s="31">
        <f t="shared" si="0"/>
        <v>61</v>
      </c>
      <c r="B89" s="31">
        <f>IF(A89=" "," ",($B$26-$B$3*($F$9))*((A89/($F$9))-($C$18/(PI()))*SIN((PI()*A89)/($F$9)))+$B$3*A89)</f>
        <v>8.70696655805273</v>
      </c>
      <c r="C89" s="31">
        <f t="shared" si="4"/>
        <v>1.00935489831895</v>
      </c>
      <c r="D89" s="31">
        <f t="shared" si="1"/>
        <v>61</v>
      </c>
      <c r="E89" s="31">
        <f>IF(D89=" "," ",($E$26-$B$3*($F$8))*((D89/($F$8))-($C$18/(PI()))*SIN((PI()*D89)/($F$8)))+$B$3*D89)</f>
        <v>8.70696655805273</v>
      </c>
      <c r="F89" s="31">
        <f t="shared" si="5"/>
        <v>1.00935489831895</v>
      </c>
      <c r="G89" s="31"/>
      <c r="H89" s="31">
        <f t="shared" si="2"/>
        <v>61</v>
      </c>
      <c r="I89" s="31">
        <f>IF(H89=" "," ",($I$26-$D$3*$F$13)*((H89/$F$13)-($C$18/(PI()))*SIN((PI()*H89)/$F$13))+$D$3*H89)</f>
        <v>9.98557744756885</v>
      </c>
      <c r="J89" s="31">
        <f t="shared" si="6"/>
        <v>1.01872218512287</v>
      </c>
      <c r="K89" s="31">
        <f t="shared" si="3"/>
        <v>61</v>
      </c>
      <c r="L89" s="31">
        <f>IF(K89=" "," ",($L$26-$D$3*$F$12)*((K89/$F$12)-($C$18/(PI()))*SIN((PI()*K89)/$F$12))+$D$3*K89)</f>
        <v>8.55221160874626</v>
      </c>
      <c r="M89" s="31">
        <f t="shared" si="7"/>
        <v>1.01013071839973</v>
      </c>
    </row>
    <row r="90" spans="1:13">
      <c r="A90" s="31">
        <f t="shared" si="0"/>
        <v>62</v>
      </c>
      <c r="B90" s="31">
        <f>IF(A90=" "," ",($B$26-$B$3*($F$9))*((A90/($F$9))-($C$18/(PI()))*SIN((PI()*A90)/($F$9)))+$B$3*A90)</f>
        <v>9.01898564463137</v>
      </c>
      <c r="C90" s="31">
        <f t="shared" si="4"/>
        <v>1.00828742149344</v>
      </c>
      <c r="D90" s="31">
        <f t="shared" si="1"/>
        <v>62</v>
      </c>
      <c r="E90" s="31">
        <f>IF(D90=" "," ",($E$26-$B$3*($F$8))*((D90/($F$8))-($C$18/(PI()))*SIN((PI()*D90)/($F$8)))+$B$3*D90)</f>
        <v>9.01898564463137</v>
      </c>
      <c r="F90" s="31">
        <f t="shared" si="5"/>
        <v>1.00828742149344</v>
      </c>
      <c r="G90" s="31"/>
      <c r="H90" s="31">
        <f t="shared" si="2"/>
        <v>62</v>
      </c>
      <c r="I90" s="31">
        <f>IF(H90=" "," ",($I$26-$D$3*$F$13)*((H90/$F$13)-($C$18/(PI()))*SIN((PI()*H90)/$F$13))+$D$3*H90)</f>
        <v>10.3908231598487</v>
      </c>
      <c r="J90" s="31">
        <f t="shared" si="6"/>
        <v>1.0178856393627</v>
      </c>
      <c r="K90" s="31">
        <f t="shared" si="3"/>
        <v>62</v>
      </c>
      <c r="L90" s="31">
        <f>IF(K90=" "," ",($L$26-$D$3*$F$12)*((K90/$F$12)-($C$18/(PI()))*SIN((PI()*K90)/$F$12))+$D$3*K90)</f>
        <v>8.86172808068064</v>
      </c>
      <c r="M90" s="31">
        <f t="shared" si="7"/>
        <v>1.00908467724221</v>
      </c>
    </row>
    <row r="91" spans="1:13">
      <c r="A91" s="31">
        <f t="shared" si="0"/>
        <v>63</v>
      </c>
      <c r="B91" s="31">
        <f>IF(A91=" "," ",($B$26-$B$3*($F$9))*((A91/($F$9))-($C$18/(PI()))*SIN((PI()*A91)/($F$9)))+$B$3*A91)</f>
        <v>9.33326049078343</v>
      </c>
      <c r="C91" s="31">
        <f t="shared" si="4"/>
        <v>1.00722955636516</v>
      </c>
      <c r="D91" s="31">
        <f t="shared" si="1"/>
        <v>63</v>
      </c>
      <c r="E91" s="31">
        <f>IF(D91=" "," ",($E$26-$B$3*($F$8))*((D91/($F$8))-($C$18/(PI()))*SIN((PI()*D91)/($F$8)))+$B$3*D91)</f>
        <v>9.33326049078343</v>
      </c>
      <c r="F91" s="31">
        <f t="shared" si="5"/>
        <v>1.00722955636516</v>
      </c>
      <c r="G91" s="31"/>
      <c r="H91" s="31">
        <f t="shared" si="2"/>
        <v>63</v>
      </c>
      <c r="I91" s="31">
        <f>IF(H91=" "," ",($I$26-$D$3*$F$13)*((H91/$F$13)-($C$18/(PI()))*SIN((PI()*H91)/$F$13))+$D$3*H91)</f>
        <v>10.8029840273645</v>
      </c>
      <c r="J91" s="31">
        <f t="shared" si="6"/>
        <v>1.01706410463196</v>
      </c>
      <c r="K91" s="31">
        <f t="shared" si="3"/>
        <v>63</v>
      </c>
      <c r="L91" s="31">
        <f>IF(K91=" "," ",($L$26-$D$3*$F$12)*((K91/$F$12)-($C$18/(PI()))*SIN((PI()*K91)/$F$12))+$D$3*K91)</f>
        <v>9.17373579559025</v>
      </c>
      <c r="M91" s="31">
        <f t="shared" si="7"/>
        <v>1.00804882195661</v>
      </c>
    </row>
    <row r="92" spans="1:13">
      <c r="A92" s="31">
        <f t="shared" si="0"/>
        <v>64</v>
      </c>
      <c r="B92" s="31">
        <f>IF(A92=" "," ",($B$26-$B$3*($F$9))*((A92/($F$9))-($C$18/(PI()))*SIN((PI()*A92)/($F$9)))+$B$3*A92)</f>
        <v>9.64947760074651</v>
      </c>
      <c r="C92" s="31">
        <f t="shared" si="4"/>
        <v>1.00618014401978</v>
      </c>
      <c r="D92" s="31">
        <f t="shared" si="1"/>
        <v>64</v>
      </c>
      <c r="E92" s="31">
        <f>IF(D92=" "," ",($E$26-$B$3*($F$8))*((D92/($F$8))-($C$18/(PI()))*SIN((PI()*D92)/($F$8)))+$B$3*D92)</f>
        <v>9.64947760074651</v>
      </c>
      <c r="F92" s="31">
        <f t="shared" si="5"/>
        <v>1.00618014401978</v>
      </c>
      <c r="G92" s="31"/>
      <c r="H92" s="31">
        <f t="shared" si="2"/>
        <v>64</v>
      </c>
      <c r="I92" s="31">
        <f>IF(H92=" "," ",($I$26-$D$3*$F$13)*((H92/$F$13)-($C$18/(PI()))*SIN((PI()*H92)/$F$13))+$D$3*H92)</f>
        <v>11.2218452584055</v>
      </c>
      <c r="J92" s="31">
        <f t="shared" si="6"/>
        <v>1.01625667076446</v>
      </c>
      <c r="K92" s="31">
        <f t="shared" si="3"/>
        <v>64</v>
      </c>
      <c r="L92" s="31">
        <f>IF(K92=" "," ",($L$26-$D$3*$F$12)*((K92/$F$12)-($C$18/(PI()))*SIN((PI()*K92)/$F$12))+$D$3*K92)</f>
        <v>9.48793443700826</v>
      </c>
      <c r="M92" s="31">
        <f t="shared" si="7"/>
        <v>1.00702202671184</v>
      </c>
    </row>
    <row r="93" spans="1:13">
      <c r="A93" s="31">
        <f t="shared" ref="A93:A156" si="8">IF(($F$9)-ROW(A65)&gt;=0,($F$9)-(($F$9)-ROW(A65))," ")</f>
        <v>65</v>
      </c>
      <c r="B93" s="31">
        <f>IF(A93=" "," ",($B$26-$B$3*($F$9))*((A93/($F$9))-($C$18/(PI()))*SIN((PI()*A93)/($F$9)))+$B$3*A93)</f>
        <v>9.96731945311985</v>
      </c>
      <c r="C93" s="31">
        <f t="shared" si="4"/>
        <v>1.00513805976673</v>
      </c>
      <c r="D93" s="31">
        <f t="shared" ref="D93:D156" si="9">IF(($F$8)-ROW(D65)&gt;=0,($F$8)-(($F$8)-ROW(D65))," ")</f>
        <v>65</v>
      </c>
      <c r="E93" s="31">
        <f>IF(D93=" "," ",($E$26-$B$3*($F$8))*((D93/($F$8))-($C$18/(PI()))*SIN((PI()*D93)/($F$8)))+$B$3*D93)</f>
        <v>9.96731945311985</v>
      </c>
      <c r="F93" s="31">
        <f t="shared" si="5"/>
        <v>1.00513805976673</v>
      </c>
      <c r="G93" s="31"/>
      <c r="H93" s="31">
        <f t="shared" ref="H93:H156" si="10">IF($F$13-ROW(H65)&gt;=0,$F$13-($F$13-ROW(H65))," ")</f>
        <v>65</v>
      </c>
      <c r="I93" s="31">
        <f>IF(H93=" "," ",($I$26-$D$3*$F$13)*((H93/$F$13)-($C$18/(PI()))*SIN((PI()*H93)/$F$13))+$D$3*H93)</f>
        <v>11.647183120944</v>
      </c>
      <c r="J93" s="31">
        <f t="shared" si="6"/>
        <v>1.01546247543947</v>
      </c>
      <c r="K93" s="31">
        <f t="shared" ref="K93:K156" si="11">IF($F$12-ROW(K65)&gt;=0,$F$12-($F$12-ROW(K65))," ")</f>
        <v>65</v>
      </c>
      <c r="L93" s="31">
        <f>IF(K93=" "," ",($L$26-$D$3*$F$12)*((K93/$F$12)-($C$18/(PI()))*SIN((PI()*K93)/$F$12))+$D$3*K93)</f>
        <v>9.80401927623343</v>
      </c>
      <c r="M93" s="31">
        <f t="shared" si="7"/>
        <v>1.00600320166455</v>
      </c>
    </row>
    <row r="94" spans="1:13">
      <c r="A94" s="31">
        <f t="shared" si="8"/>
        <v>66</v>
      </c>
      <c r="B94" s="31">
        <f>IF(A94=" "," ",($B$26-$B$3*($F$9))*((A94/($F$9))-($C$18/(PI()))*SIN((PI()*A94)/($F$9)))+$B$3*A94)</f>
        <v>10.2864651589759</v>
      </c>
      <c r="C94" s="31">
        <f t="shared" ref="C94:C157" si="12">IF(A94=" "," ",(B94-B93)/(B93-B92))</f>
        <v>1.00410220829326</v>
      </c>
      <c r="D94" s="31">
        <f t="shared" si="9"/>
        <v>66</v>
      </c>
      <c r="E94" s="31">
        <f>IF(D94=" "," ",($E$26-$B$3*($F$8))*((D94/($F$8))-($C$18/(PI()))*SIN((PI()*D94)/($F$8)))+$B$3*D94)</f>
        <v>10.2864651589759</v>
      </c>
      <c r="F94" s="31">
        <f t="shared" ref="F94:F157" si="13">IF(D94=" "," ",(E94-E93)/(E93-E92))</f>
        <v>1.00410220829326</v>
      </c>
      <c r="G94" s="31"/>
      <c r="H94" s="31">
        <f t="shared" si="10"/>
        <v>66</v>
      </c>
      <c r="I94" s="31">
        <f>IF(H94=" "," ",($I$26-$D$3*$F$13)*((H94/$F$13)-($C$18/(PI()))*SIN((PI()*H94)/$F$13))+$D$3*H94)</f>
        <v>12.0787652411618</v>
      </c>
      <c r="J94" s="31">
        <f t="shared" ref="J94:J157" si="14">IF(H94=" "," ",(I94-I93)/(I93-I92))</f>
        <v>1.01468070028389</v>
      </c>
      <c r="K94" s="31">
        <f t="shared" si="11"/>
        <v>66</v>
      </c>
      <c r="L94" s="31">
        <f>IF(K94=" "," ",($L$26-$D$3*$F$12)*((K94/$F$12)-($C$18/(PI()))*SIN((PI()*K94)/$F$12))+$D$3*K94)</f>
        <v>10.1216817860131</v>
      </c>
      <c r="M94" s="31">
        <f t="shared" ref="M94:M157" si="15">IF(K94=" "," ",(L94-L93)/(L93-L92))</f>
        <v>1.00499128828326</v>
      </c>
    </row>
    <row r="95" spans="1:13">
      <c r="A95" s="31">
        <f t="shared" si="8"/>
        <v>67</v>
      </c>
      <c r="B95" s="31">
        <f>IF(A95=" "," ",($B$26-$B$3*($F$9))*((A95/($F$9))-($C$18/(PI()))*SIN((PI()*A95)/($F$9)))+$B$3*A95)</f>
        <v>10.6065911269518</v>
      </c>
      <c r="C95" s="31">
        <f t="shared" si="12"/>
        <v>1.00307151906417</v>
      </c>
      <c r="D95" s="31">
        <f t="shared" si="9"/>
        <v>67</v>
      </c>
      <c r="E95" s="31">
        <f>IF(D95=" "," ",($E$26-$B$3*($F$8))*((D95/($F$8))-($C$18/(PI()))*SIN((PI()*D95)/($F$8)))+$B$3*D95)</f>
        <v>10.6065911269518</v>
      </c>
      <c r="F95" s="31">
        <f t="shared" si="13"/>
        <v>1.00307151906417</v>
      </c>
      <c r="G95" s="31"/>
      <c r="H95" s="31">
        <f t="shared" si="10"/>
        <v>67</v>
      </c>
      <c r="I95" s="31">
        <f>IF(H95=" "," ",($I$26-$D$3*$F$13)*((H95/$F$13)-($C$18/(PI()))*SIN((PI()*H95)/$F$13))+$D$3*H95)</f>
        <v>12.5163509135074</v>
      </c>
      <c r="J95" s="31">
        <f t="shared" si="14"/>
        <v>1.01391056729762</v>
      </c>
      <c r="K95" s="31">
        <f t="shared" si="11"/>
        <v>67</v>
      </c>
      <c r="L95" s="31">
        <f>IF(K95=" "," ",($L$26-$D$3*$F$12)*((K95/$F$12)-($C$18/(PI()))*SIN((PI()*K95)/$F$12))+$D$3*K95)</f>
        <v>10.4406102618762</v>
      </c>
      <c r="M95" s="31">
        <f t="shared" si="15"/>
        <v>1.0039852549307</v>
      </c>
    </row>
    <row r="96" spans="1:13">
      <c r="A96" s="31">
        <f t="shared" si="8"/>
        <v>68</v>
      </c>
      <c r="B96" s="31">
        <f>IF(A96=" "," ",($B$26-$B$3*($F$9))*((A96/($F$9))-($C$18/(PI()))*SIN((PI()*A96)/($F$9)))+$B$3*A96)</f>
        <v>10.9273717339416</v>
      </c>
      <c r="C96" s="31">
        <f t="shared" si="12"/>
        <v>1.00204494192719</v>
      </c>
      <c r="D96" s="31">
        <f t="shared" si="9"/>
        <v>68</v>
      </c>
      <c r="E96" s="31">
        <f>IF(D96=" "," ",($E$26-$B$3*($F$8))*((D96/($F$8))-($C$18/(PI()))*SIN((PI()*D96)/($F$8)))+$B$3*D96)</f>
        <v>10.9273717339416</v>
      </c>
      <c r="F96" s="31">
        <f t="shared" si="13"/>
        <v>1.00204494192719</v>
      </c>
      <c r="G96" s="31"/>
      <c r="H96" s="31">
        <f t="shared" si="10"/>
        <v>68</v>
      </c>
      <c r="I96" s="31">
        <f>IF(H96=" "," ",($I$26-$D$3*$F$13)*((H96/$F$13)-($C$18/(PI()))*SIN((PI()*H96)/$F$13))+$D$3*H96)</f>
        <v>12.95969142187</v>
      </c>
      <c r="J96" s="31">
        <f t="shared" si="14"/>
        <v>1.01315133556852</v>
      </c>
      <c r="K96" s="31">
        <f t="shared" si="11"/>
        <v>68</v>
      </c>
      <c r="L96" s="31">
        <f>IF(K96=" "," ",($L$26-$D$3*$F$12)*((K96/$F$12)-($C$18/(PI()))*SIN((PI()*K96)/$F$12))+$D$3*K96)</f>
        <v>10.7604904498644</v>
      </c>
      <c r="M96" s="31">
        <f t="shared" si="15"/>
        <v>1.0029840926636</v>
      </c>
    </row>
    <row r="97" spans="1:13">
      <c r="A97" s="31">
        <f t="shared" si="8"/>
        <v>69</v>
      </c>
      <c r="B97" s="31">
        <f>IF(A97=" "," ",($B$26-$B$3*($F$9))*((A97/($F$9))-($C$18/(PI()))*SIN((PI()*A97)/($F$9)))+$B$3*A97)</f>
        <v>11.24848</v>
      </c>
      <c r="C97" s="31">
        <f t="shared" si="12"/>
        <v>1.00102144288505</v>
      </c>
      <c r="D97" s="31">
        <f t="shared" si="9"/>
        <v>69</v>
      </c>
      <c r="E97" s="31">
        <f>IF(D97=" "," ",($E$26-$B$3*($F$8))*((D97/($F$8))-($C$18/(PI()))*SIN((PI()*D97)/($F$8)))+$B$3*D97)</f>
        <v>11.24848</v>
      </c>
      <c r="F97" s="31">
        <f t="shared" si="13"/>
        <v>1.00102144288505</v>
      </c>
      <c r="G97" s="31"/>
      <c r="H97" s="31">
        <f t="shared" si="10"/>
        <v>69</v>
      </c>
      <c r="I97" s="31">
        <f>IF(H97=" "," ",($I$26-$D$3*$F$13)*((H97/$F$13)-($C$18/(PI()))*SIN((PI()*H97)/$F$13))+$D$3*H97)</f>
        <v>13.4085303714424</v>
      </c>
      <c r="J97" s="31">
        <f t="shared" si="14"/>
        <v>1.01240229824723</v>
      </c>
      <c r="K97" s="31">
        <f t="shared" si="11"/>
        <v>69</v>
      </c>
      <c r="L97" s="31">
        <f>IF(K97=" "," ",($L$26-$D$3*$F$12)*((K97/$F$12)-($C$18/(PI()))*SIN((PI()*K97)/$F$12))+$D$3*K97)</f>
        <v>11.0810061793976</v>
      </c>
      <c r="M97" s="31">
        <f t="shared" si="15"/>
        <v>1.0019868112155</v>
      </c>
    </row>
    <row r="98" spans="1:13">
      <c r="A98" s="31" t="str">
        <f t="shared" si="8"/>
        <v> </v>
      </c>
      <c r="B98" s="31" t="str">
        <f>IF(A98=" "," ",($B$26-$B$3*($F$9))*((A98/($F$9))-($C$18/(PI()))*SIN((PI()*A98)/($F$9)))+$B$3*A98)</f>
        <v> </v>
      </c>
      <c r="C98" s="31" t="str">
        <f t="shared" si="12"/>
        <v> </v>
      </c>
      <c r="D98" s="31" t="str">
        <f t="shared" si="9"/>
        <v> </v>
      </c>
      <c r="E98" s="31" t="str">
        <f>IF(D98=" "," ",($E$26-$B$3*($F$8))*((D98/($F$8))-($C$18/(PI()))*SIN((PI()*D98)/($F$8)))+$B$3*D98)</f>
        <v> </v>
      </c>
      <c r="F98" s="31" t="str">
        <f t="shared" si="13"/>
        <v> </v>
      </c>
      <c r="G98" s="31"/>
      <c r="H98" s="31">
        <f t="shared" si="10"/>
        <v>70</v>
      </c>
      <c r="I98" s="31">
        <f>IF(H98=" "," ",($I$26-$D$3*$F$13)*((H98/$F$13)-($C$18/(PI()))*SIN((PI()*H98)/$F$13))+$D$3*H98)</f>
        <v>13.8626040308293</v>
      </c>
      <c r="J98" s="31">
        <f t="shared" si="14"/>
        <v>1.01166277975551</v>
      </c>
      <c r="K98" s="31">
        <f t="shared" si="11"/>
        <v>70</v>
      </c>
      <c r="L98" s="31">
        <f>IF(K98=" "," ",($L$26-$D$3*$F$12)*((K98/$F$12)-($C$18/(PI()))*SIN((PI()*K98)/$F$12))+$D$3*K98)</f>
        <v>11.40184</v>
      </c>
      <c r="M98" s="31">
        <f t="shared" si="15"/>
        <v>1.0009924351281</v>
      </c>
    </row>
    <row r="99" spans="1:13">
      <c r="A99" s="31" t="str">
        <f t="shared" si="8"/>
        <v> </v>
      </c>
      <c r="B99" s="31" t="str">
        <f>IF(A99=" "," ",($B$26-$B$3*($F$9))*((A99/($F$9))-($C$18/(PI()))*SIN((PI()*A99)/($F$9)))+$B$3*A99)</f>
        <v> </v>
      </c>
      <c r="C99" s="31" t="str">
        <f t="shared" si="12"/>
        <v> </v>
      </c>
      <c r="D99" s="31" t="str">
        <f t="shared" si="9"/>
        <v> </v>
      </c>
      <c r="E99" s="31" t="str">
        <f>IF(D99=" "," ",($E$26-$B$3*($F$8))*((D99/($F$8))-($C$18/(PI()))*SIN((PI()*D99)/($F$8)))+$B$3*D99)</f>
        <v> </v>
      </c>
      <c r="F99" s="31" t="str">
        <f t="shared" si="13"/>
        <v> </v>
      </c>
      <c r="G99" s="31"/>
      <c r="H99" s="31">
        <f t="shared" si="10"/>
        <v>71</v>
      </c>
      <c r="I99" s="31">
        <f>IF(H99=" "," ",($I$26-$D$3*$F$13)*((H99/$F$13)-($C$18/(PI()))*SIN((PI()*H99)/$F$13))+$D$3*H99)</f>
        <v>14.3216416839452</v>
      </c>
      <c r="J99" s="31">
        <f t="shared" si="14"/>
        <v>1.01093213320425</v>
      </c>
      <c r="K99" s="31" t="str">
        <f t="shared" si="11"/>
        <v> </v>
      </c>
      <c r="L99" s="31" t="str">
        <f>IF(K99=" "," ",($L$26-$D$3*$F$12)*((K99/$F$12)-($C$18/(PI()))*SIN((PI()*K99)/$F$12))+$D$3*K99)</f>
        <v> </v>
      </c>
      <c r="M99" s="31" t="str">
        <f t="shared" si="15"/>
        <v> </v>
      </c>
    </row>
    <row r="100" spans="1:13">
      <c r="A100" s="31" t="str">
        <f t="shared" si="8"/>
        <v> </v>
      </c>
      <c r="B100" s="31" t="str">
        <f>IF(A100=" "," ",($B$26-$B$3*($F$9))*((A100/($F$9))-($C$18/(PI()))*SIN((PI()*A100)/($F$9)))+$B$3*A100)</f>
        <v> </v>
      </c>
      <c r="C100" s="31" t="str">
        <f t="shared" si="12"/>
        <v> </v>
      </c>
      <c r="D100" s="31" t="str">
        <f t="shared" si="9"/>
        <v> </v>
      </c>
      <c r="E100" s="31" t="str">
        <f>IF(D100=" "," ",($E$26-$B$3*($F$8))*((D100/($F$8))-($C$18/(PI()))*SIN((PI()*D100)/($F$8)))+$B$3*D100)</f>
        <v> </v>
      </c>
      <c r="F100" s="31" t="str">
        <f t="shared" si="13"/>
        <v> </v>
      </c>
      <c r="G100" s="31"/>
      <c r="H100" s="31">
        <f t="shared" si="10"/>
        <v>72</v>
      </c>
      <c r="I100" s="31">
        <f>IF(H100=" "," ",($I$26-$D$3*$F$13)*((H100/$F$13)-($C$18/(PI()))*SIN((PI()*H100)/$F$13))+$D$3*H100)</f>
        <v>14.7853659912314</v>
      </c>
      <c r="J100" s="31">
        <f t="shared" si="14"/>
        <v>1.01020973799977</v>
      </c>
      <c r="K100" s="31" t="str">
        <f t="shared" si="11"/>
        <v> </v>
      </c>
      <c r="L100" s="31" t="str">
        <f>IF(K100=" "," ",($L$26-$D$3*$F$12)*((K100/$F$12)-($C$18/(PI()))*SIN((PI()*K100)/$F$12))+$D$3*K100)</f>
        <v> </v>
      </c>
      <c r="M100" s="31" t="str">
        <f t="shared" si="15"/>
        <v> </v>
      </c>
    </row>
    <row r="101" spans="1:13">
      <c r="A101" s="31" t="str">
        <f t="shared" si="8"/>
        <v> </v>
      </c>
      <c r="B101" s="31" t="str">
        <f>IF(A101=" "," ",($B$26-$B$3*($F$9))*((A101/($F$9))-($C$18/(PI()))*SIN((PI()*A101)/($F$9)))+$B$3*A101)</f>
        <v> </v>
      </c>
      <c r="C101" s="31" t="str">
        <f t="shared" si="12"/>
        <v> </v>
      </c>
      <c r="D101" s="31" t="str">
        <f t="shared" si="9"/>
        <v> </v>
      </c>
      <c r="E101" s="31" t="str">
        <f>IF(D101=" "," ",($E$26-$B$3*($F$8))*((D101/($F$8))-($C$18/(PI()))*SIN((PI()*D101)/($F$8)))+$B$3*D101)</f>
        <v> </v>
      </c>
      <c r="F101" s="31" t="str">
        <f t="shared" si="13"/>
        <v> </v>
      </c>
      <c r="G101" s="31"/>
      <c r="H101" s="31">
        <f t="shared" si="10"/>
        <v>73</v>
      </c>
      <c r="I101" s="31">
        <f>IF(H101=" "," ",($I$26-$D$3*$F$13)*((H101/$F$13)-($C$18/(PI()))*SIN((PI()*H101)/$F$13))+$D$3*H101)</f>
        <v>15.2534933597114</v>
      </c>
      <c r="J101" s="31">
        <f t="shared" si="14"/>
        <v>1.00949499761951</v>
      </c>
      <c r="K101" s="31" t="str">
        <f t="shared" si="11"/>
        <v> </v>
      </c>
      <c r="L101" s="31" t="str">
        <f>IF(K101=" "," ",($L$26-$D$3*$F$12)*((K101/$F$12)-($C$18/(PI()))*SIN((PI()*K101)/$F$12))+$D$3*K101)</f>
        <v> </v>
      </c>
      <c r="M101" s="31" t="str">
        <f t="shared" si="15"/>
        <v> </v>
      </c>
    </row>
    <row r="102" spans="1:13">
      <c r="A102" s="31" t="str">
        <f t="shared" si="8"/>
        <v> </v>
      </c>
      <c r="B102" s="31" t="str">
        <f>IF(A102=" "," ",($B$26-$B$3*($F$9))*((A102/($F$9))-($C$18/(PI()))*SIN((PI()*A102)/($F$9)))+$B$3*A102)</f>
        <v> </v>
      </c>
      <c r="C102" s="31" t="str">
        <f t="shared" si="12"/>
        <v> </v>
      </c>
      <c r="D102" s="31" t="str">
        <f t="shared" si="9"/>
        <v> </v>
      </c>
      <c r="E102" s="31" t="str">
        <f>IF(D102=" "," ",($E$26-$B$3*($F$8))*((D102/($F$8))-($C$18/(PI()))*SIN((PI()*D102)/($F$8)))+$B$3*D102)</f>
        <v> </v>
      </c>
      <c r="F102" s="31" t="str">
        <f t="shared" si="13"/>
        <v> </v>
      </c>
      <c r="G102" s="31"/>
      <c r="H102" s="31">
        <f t="shared" si="10"/>
        <v>74</v>
      </c>
      <c r="I102" s="31">
        <f>IF(H102=" "," ",($I$26-$D$3*$F$13)*((H102/$F$13)-($C$18/(PI()))*SIN((PI()*H102)/$F$13))+$D$3*H102)</f>
        <v>15.7257343213898</v>
      </c>
      <c r="J102" s="31">
        <f t="shared" si="14"/>
        <v>1.00878733753957</v>
      </c>
      <c r="K102" s="31" t="str">
        <f t="shared" si="11"/>
        <v> </v>
      </c>
      <c r="L102" s="31" t="str">
        <f>IF(K102=" "," ",($L$26-$D$3*$F$12)*((K102/$F$12)-($C$18/(PI()))*SIN((PI()*K102)/$F$12))+$D$3*K102)</f>
        <v> </v>
      </c>
      <c r="M102" s="31" t="str">
        <f t="shared" si="15"/>
        <v> </v>
      </c>
    </row>
    <row r="103" spans="1:13">
      <c r="A103" s="31" t="str">
        <f t="shared" si="8"/>
        <v> </v>
      </c>
      <c r="B103" s="31" t="str">
        <f>IF(A103=" "," ",($B$26-$B$3*($F$9))*((A103/($F$9))-($C$18/(PI()))*SIN((PI()*A103)/($F$9)))+$B$3*A103)</f>
        <v> </v>
      </c>
      <c r="C103" s="31" t="str">
        <f t="shared" si="12"/>
        <v> </v>
      </c>
      <c r="D103" s="31" t="str">
        <f t="shared" si="9"/>
        <v> </v>
      </c>
      <c r="E103" s="31" t="str">
        <f>IF(D103=" "," ",($E$26-$B$3*($F$8))*((D103/($F$8))-($C$18/(PI()))*SIN((PI()*D103)/($F$8)))+$B$3*D103)</f>
        <v> </v>
      </c>
      <c r="F103" s="31" t="str">
        <f t="shared" si="13"/>
        <v> </v>
      </c>
      <c r="G103" s="31"/>
      <c r="H103" s="31">
        <f t="shared" si="10"/>
        <v>75</v>
      </c>
      <c r="I103" s="31">
        <f>IF(H103=" "," ",($I$26-$D$3*$F$13)*((H103/$F$13)-($C$18/(PI()))*SIN((PI()*H103)/$F$13))+$D$3*H103)</f>
        <v>16.2017939194902</v>
      </c>
      <c r="J103" s="31">
        <f t="shared" si="14"/>
        <v>1.00808620329863</v>
      </c>
      <c r="K103" s="31" t="str">
        <f t="shared" si="11"/>
        <v> </v>
      </c>
      <c r="L103" s="31" t="str">
        <f>IF(K103=" "," ",($L$26-$D$3*$F$12)*((K103/$F$12)-($C$18/(PI()))*SIN((PI()*K103)/$F$12))+$D$3*K103)</f>
        <v> </v>
      </c>
      <c r="M103" s="31" t="str">
        <f t="shared" si="15"/>
        <v> </v>
      </c>
    </row>
    <row r="104" spans="1:13">
      <c r="A104" s="31" t="str">
        <f t="shared" si="8"/>
        <v> </v>
      </c>
      <c r="B104" s="31" t="str">
        <f>IF(A104=" "," ",($B$26-$B$3*($F$9))*((A104/($F$9))-($C$18/(PI()))*SIN((PI()*A104)/($F$9)))+$B$3*A104)</f>
        <v> </v>
      </c>
      <c r="C104" s="31" t="str">
        <f t="shared" si="12"/>
        <v> </v>
      </c>
      <c r="D104" s="31" t="str">
        <f t="shared" si="9"/>
        <v> </v>
      </c>
      <c r="E104" s="31" t="str">
        <f>IF(D104=" "," ",($E$26-$B$3*($F$8))*((D104/($F$8))-($C$18/(PI()))*SIN((PI()*D104)/($F$8)))+$B$3*D104)</f>
        <v> </v>
      </c>
      <c r="F104" s="31" t="str">
        <f t="shared" si="13"/>
        <v> </v>
      </c>
      <c r="G104" s="31"/>
      <c r="H104" s="31">
        <f t="shared" si="10"/>
        <v>76</v>
      </c>
      <c r="I104" s="31">
        <f>IF(H104=" "," ",($I$26-$D$3*$F$13)*((H104/$F$13)-($C$18/(PI()))*SIN((PI()*H104)/$F$13))+$D$3*H104)</f>
        <v>16.6813721020174</v>
      </c>
      <c r="J104" s="31">
        <f t="shared" si="14"/>
        <v>1.0073910586843</v>
      </c>
      <c r="K104" s="31" t="str">
        <f t="shared" si="11"/>
        <v> </v>
      </c>
      <c r="L104" s="31" t="str">
        <f>IF(K104=" "," ",($L$26-$D$3*$F$12)*((K104/$F$12)-($C$18/(PI()))*SIN((PI()*K104)/$F$12))+$D$3*K104)</f>
        <v> </v>
      </c>
      <c r="M104" s="31" t="str">
        <f t="shared" si="15"/>
        <v> </v>
      </c>
    </row>
    <row r="105" spans="1:13">
      <c r="A105" s="31" t="str">
        <f t="shared" si="8"/>
        <v> </v>
      </c>
      <c r="B105" s="31" t="str">
        <f>IF(A105=" "," ",($B$26-$B$3*($F$9))*((A105/($F$9))-($C$18/(PI()))*SIN((PI()*A105)/($F$9)))+$B$3*A105)</f>
        <v> </v>
      </c>
      <c r="C105" s="31" t="str">
        <f t="shared" si="12"/>
        <v> </v>
      </c>
      <c r="D105" s="31" t="str">
        <f t="shared" si="9"/>
        <v> </v>
      </c>
      <c r="E105" s="31" t="str">
        <f>IF(D105=" "," ",($E$26-$B$3*($F$8))*((D105/($F$8))-($C$18/(PI()))*SIN((PI()*D105)/($F$8)))+$B$3*D105)</f>
        <v> </v>
      </c>
      <c r="F105" s="31" t="str">
        <f t="shared" si="13"/>
        <v> </v>
      </c>
      <c r="G105" s="31"/>
      <c r="H105" s="31">
        <f t="shared" si="10"/>
        <v>77</v>
      </c>
      <c r="I105" s="31">
        <f>IF(H105=" "," ",($I$26-$D$3*$F$13)*((H105/$F$13)-($C$18/(PI()))*SIN((PI()*H105)/$F$13))+$D$3*H105)</f>
        <v>17.1641641221175</v>
      </c>
      <c r="J105" s="31">
        <f t="shared" si="14"/>
        <v>1.00670138402856</v>
      </c>
      <c r="K105" s="31" t="str">
        <f t="shared" si="11"/>
        <v> </v>
      </c>
      <c r="L105" s="31" t="str">
        <f>IF(K105=" "," ",($L$26-$D$3*$F$12)*((K105/$F$12)-($C$18/(PI()))*SIN((PI()*K105)/$F$12))+$D$3*K105)</f>
        <v> </v>
      </c>
      <c r="M105" s="31" t="str">
        <f t="shared" si="15"/>
        <v> </v>
      </c>
    </row>
    <row r="106" spans="1:13">
      <c r="A106" s="31" t="str">
        <f t="shared" si="8"/>
        <v> </v>
      </c>
      <c r="B106" s="31" t="str">
        <f>IF(A106=" "," ",($B$26-$B$3*($F$9))*((A106/($F$9))-($C$18/(PI()))*SIN((PI()*A106)/($F$9)))+$B$3*A106)</f>
        <v> </v>
      </c>
      <c r="C106" s="31" t="str">
        <f t="shared" si="12"/>
        <v> </v>
      </c>
      <c r="D106" s="31" t="str">
        <f t="shared" si="9"/>
        <v> </v>
      </c>
      <c r="E106" s="31" t="str">
        <f>IF(D106=" "," ",($E$26-$B$3*($F$8))*((D106/($F$8))-($C$18/(PI()))*SIN((PI()*D106)/($F$8)))+$B$3*D106)</f>
        <v> </v>
      </c>
      <c r="F106" s="31" t="str">
        <f t="shared" si="13"/>
        <v> </v>
      </c>
      <c r="G106" s="31"/>
      <c r="H106" s="31">
        <f t="shared" si="10"/>
        <v>78</v>
      </c>
      <c r="I106" s="31">
        <f>IF(H106=" "," ",($I$26-$D$3*$F$13)*((H106/$F$13)-($C$18/(PI()))*SIN((PI()*H106)/$F$13))+$D$3*H106)</f>
        <v>17.6498609447024</v>
      </c>
      <c r="J106" s="31">
        <f t="shared" si="14"/>
        <v>1.00601667460102</v>
      </c>
      <c r="K106" s="31" t="str">
        <f t="shared" si="11"/>
        <v> </v>
      </c>
      <c r="L106" s="31" t="str">
        <f>IF(K106=" "," ",($L$26-$D$3*$F$12)*((K106/$F$12)-($C$18/(PI()))*SIN((PI()*K106)/$F$12))+$D$3*K106)</f>
        <v> </v>
      </c>
      <c r="M106" s="31" t="str">
        <f t="shared" si="15"/>
        <v> 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>
        <f t="shared" si="10"/>
        <v>79</v>
      </c>
      <c r="I107" s="31">
        <f>IF(H107=" "," ",($I$26-$D$3*$F$13)*((H107/$F$13)-($C$18/(PI()))*SIN((PI()*H107)/$F$13))+$D$3*H107)</f>
        <v>18.138149658797</v>
      </c>
      <c r="J107" s="31">
        <f t="shared" si="14"/>
        <v>1.00533643908931</v>
      </c>
      <c r="K107" s="31" t="str">
        <f t="shared" si="11"/>
        <v> </v>
      </c>
      <c r="L107" s="31" t="str">
        <f>IF(K107=" "," ",($L$26-$D$3*$F$12)*((K107/$F$12)-($C$18/(PI()))*SIN((PI()*K107)/$F$12))+$D$3*K107)</f>
        <v> </v>
      </c>
      <c r="M107" s="31" t="str">
        <f t="shared" si="15"/>
        <v> 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>
        <f t="shared" si="10"/>
        <v>80</v>
      </c>
      <c r="I108" s="31">
        <f>IF(H108=" "," ",($I$26-$D$3*$F$13)*((H108/$F$13)-($C$18/(PI()))*SIN((PI()*H108)/$F$13))+$D$3*H108)</f>
        <v>18.6287138950565</v>
      </c>
      <c r="J108" s="31">
        <f t="shared" si="14"/>
        <v>1.00466019815587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>
        <f t="shared" si="10"/>
        <v>81</v>
      </c>
      <c r="I109" s="31">
        <f>IF(H109=" "," ",($I$26-$D$3*$F$13)*((H109/$F$13)-($C$18/(PI()))*SIN((PI()*H109)/$F$13))+$D$3*H109)</f>
        <v>19.1212342478997</v>
      </c>
      <c r="J109" s="31">
        <f t="shared" si="14"/>
        <v>1.00398748306363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>
        <f t="shared" si="10"/>
        <v>82</v>
      </c>
      <c r="I110" s="31">
        <f>IF(H110=" "," ",($I$26-$D$3*$F$13)*((H110/$F$13)-($C$18/(PI()))*SIN((PI()*H110)/$F$13))+$D$3*H110)</f>
        <v>19.6153887016926</v>
      </c>
      <c r="J110" s="31">
        <f t="shared" si="14"/>
        <v>1.00331783436006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>
        <f t="shared" si="10"/>
        <v>83</v>
      </c>
      <c r="I111" s="31">
        <f>IF(H111=" "," ",($I$26-$D$3*$F$13)*((H111/$F$13)-($C$18/(PI()))*SIN((PI()*H111)/$F$13))+$D$3*H111)</f>
        <v>20.110853060415</v>
      </c>
      <c r="J111" s="31">
        <f t="shared" si="14"/>
        <v>1.00265080061394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>
        <f t="shared" si="10"/>
        <v>84</v>
      </c>
      <c r="I112" s="31">
        <f>IF(H112=" "," ",($I$26-$D$3*$F$13)*((H112/$F$13)-($C$18/(PI()))*SIN((PI()*H112)/$F$13))+$D$3*H112)</f>
        <v>20.6073013802363</v>
      </c>
      <c r="J112" s="31">
        <f t="shared" si="14"/>
        <v>1.00198593719511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>
        <f t="shared" si="10"/>
        <v>85</v>
      </c>
      <c r="I113" s="31">
        <f>IF(H113=" "," ",($I$26-$D$3*$F$13)*((H113/$F$13)-($C$18/(PI()))*SIN((PI()*H113)/$F$13))+$D$3*H113)</f>
        <v>21.1044064044232</v>
      </c>
      <c r="J113" s="31">
        <f t="shared" si="14"/>
        <v>1.00132280509268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>
        <f t="shared" si="10"/>
        <v>86</v>
      </c>
      <c r="I114" s="31">
        <f>IF(H114=" "," ",($I$26-$D$3*$F$13)*((H114/$F$13)-($C$18/(PI()))*SIN((PI()*H114)/$F$13))+$D$3*H114)</f>
        <v>21.60184</v>
      </c>
      <c r="J114" s="31">
        <f t="shared" si="14"/>
        <v>1.00066096976254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 t="str">
        <f t="shared" si="10"/>
        <v> </v>
      </c>
      <c r="I115" s="31" t="str">
        <f>IF(H115=" "," ",($I$26-$D$3*$F$13)*((H115/$F$13)-($C$18/(PI()))*SIN((PI()*H115)/$F$13))+$D$3*H115)</f>
        <v> </v>
      </c>
      <c r="J115" s="31" t="str">
        <f t="shared" si="14"/>
        <v> 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 t="str">
        <f t="shared" si="10"/>
        <v> </v>
      </c>
      <c r="I116" s="31" t="str">
        <f>IF(H116=" "," ",($I$26-$D$3*$F$13)*((H116/$F$13)-($C$18/(PI()))*SIN((PI()*H116)/$F$13))+$D$3*H116)</f>
        <v> </v>
      </c>
      <c r="J116" s="31" t="str">
        <f t="shared" si="14"/>
        <v> 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 t="str">
        <f t="shared" si="10"/>
        <v> </v>
      </c>
      <c r="I117" s="31" t="str">
        <f>IF(H117=" "," ",($I$26-$D$3*$F$13)*((H117/$F$13)-($C$18/(PI()))*SIN((PI()*H117)/$F$13))+$D$3*H117)</f>
        <v> </v>
      </c>
      <c r="J117" s="31" t="str">
        <f t="shared" si="14"/>
        <v> 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 t="str">
        <f t="shared" si="10"/>
        <v> </v>
      </c>
      <c r="I118" s="31" t="str">
        <f>IF(H118=" "," ",($I$26-$D$3*$F$13)*((H118/$F$13)-($C$18/(PI()))*SIN((PI()*H118)/$F$13))+$D$3*H118)</f>
        <v> </v>
      </c>
      <c r="J118" s="31" t="str">
        <f t="shared" si="14"/>
        <v> 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 t="str">
        <f t="shared" si="10"/>
        <v> </v>
      </c>
      <c r="I119" s="31" t="str">
        <f>IF(H119=" "," ",($I$26-$D$3*$F$13)*((H119/$F$13)-($C$18/(PI()))*SIN((PI()*H119)/$F$13))+$D$3*H119)</f>
        <v> </v>
      </c>
      <c r="J119" s="31" t="str">
        <f t="shared" si="14"/>
        <v> 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 t="str">
        <f t="shared" si="10"/>
        <v> </v>
      </c>
      <c r="I120" s="31" t="str">
        <f>IF(H120=" "," ",($I$26-$D$3*$F$13)*((H120/$F$13)-($C$18/(PI()))*SIN((PI()*H120)/$F$13))+$D$3*H120)</f>
        <v> </v>
      </c>
      <c r="J120" s="31" t="str">
        <f t="shared" si="14"/>
        <v> 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 t="str">
        <f t="shared" si="10"/>
        <v> </v>
      </c>
      <c r="I121" s="31" t="str">
        <f>IF(H121=" "," ",($I$26-$D$3*$F$13)*((H121/$F$13)-($C$18/(PI()))*SIN((PI()*H121)/$F$13))+$D$3*H121)</f>
        <v> </v>
      </c>
      <c r="J121" s="31" t="str">
        <f t="shared" si="14"/>
        <v> 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 t="str">
        <f t="shared" si="10"/>
        <v> </v>
      </c>
      <c r="I122" s="31" t="str">
        <f>IF(H122=" "," ",($I$26-$D$3*$F$13)*((H122/$F$13)-($C$18/(PI()))*SIN((PI()*H122)/$F$13))+$D$3*H122)</f>
        <v> </v>
      </c>
      <c r="J122" s="31" t="str">
        <f t="shared" si="14"/>
        <v> 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 t="str">
        <f t="shared" si="10"/>
        <v> </v>
      </c>
      <c r="I123" s="31" t="str">
        <f>IF(H123=" "," ",($I$26-$D$3*$F$13)*((H123/$F$13)-($C$18/(PI()))*SIN((PI()*H123)/$F$13))+$D$3*H123)</f>
        <v> </v>
      </c>
      <c r="J123" s="31" t="str">
        <f t="shared" si="14"/>
        <v> 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 t="str">
        <f t="shared" si="10"/>
        <v> </v>
      </c>
      <c r="I124" s="31" t="str">
        <f>IF(H124=" "," ",($I$26-$D$3*$F$13)*((H124/$F$13)-($C$18/(PI()))*SIN((PI()*H124)/$F$13))+$D$3*H124)</f>
        <v> </v>
      </c>
      <c r="J124" s="31" t="str">
        <f t="shared" si="14"/>
        <v> 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 t="str">
        <f t="shared" si="10"/>
        <v> </v>
      </c>
      <c r="I125" s="31" t="str">
        <f>IF(H125=" "," ",($I$26-$D$3*$F$13)*((H125/$F$13)-($C$18/(PI()))*SIN((PI()*H125)/$F$13))+$D$3*H125)</f>
        <v> </v>
      </c>
      <c r="J125" s="31" t="str">
        <f t="shared" si="14"/>
        <v> 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 t="str">
        <f t="shared" si="10"/>
        <v> </v>
      </c>
      <c r="I126" s="31" t="str">
        <f>IF(H126=" "," ",($I$26-$D$3*$F$13)*((H126/$F$13)-($C$18/(PI()))*SIN((PI()*H126)/$F$13))+$D$3*H126)</f>
        <v> </v>
      </c>
      <c r="J126" s="31" t="str">
        <f t="shared" si="14"/>
        <v> 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F17" sqref="F17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0.00437</v>
      </c>
      <c r="C3" s="7" t="s">
        <v>112</v>
      </c>
      <c r="D3" s="8">
        <v>0.00437</v>
      </c>
      <c r="E3" s="7" t="s">
        <v>113</v>
      </c>
      <c r="F3" s="8">
        <f>D3*9</f>
        <v>0.03933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1.50328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488</v>
      </c>
      <c r="C8" s="11" t="s">
        <v>125</v>
      </c>
      <c r="D8" s="12">
        <f>D7/B3</f>
        <v>344</v>
      </c>
      <c r="E8" s="7" t="s">
        <v>126</v>
      </c>
      <c r="F8" s="34">
        <v>72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72</v>
      </c>
      <c r="C9" s="13"/>
      <c r="D9" s="14"/>
      <c r="E9" s="7" t="s">
        <v>130</v>
      </c>
      <c r="F9" s="34">
        <v>72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2.98908</v>
      </c>
      <c r="E11" s="7"/>
      <c r="J11" s="41" t="s">
        <v>134</v>
      </c>
      <c r="K11" s="42">
        <f>(B3*K9)/K3</f>
        <v>1.39225268477996</v>
      </c>
    </row>
    <row r="12" ht="15.15" spans="1:11">
      <c r="A12" s="11" t="s">
        <v>135</v>
      </c>
      <c r="B12" s="12">
        <f>D12+F13+F12</f>
        <v>846</v>
      </c>
      <c r="C12" s="15" t="s">
        <v>136</v>
      </c>
      <c r="D12" s="12">
        <f>D11/D3</f>
        <v>684</v>
      </c>
      <c r="E12" s="7" t="s">
        <v>137</v>
      </c>
      <c r="F12" s="34">
        <v>72</v>
      </c>
      <c r="G12" t="s">
        <v>127</v>
      </c>
      <c r="J12" s="43" t="s">
        <v>138</v>
      </c>
      <c r="K12" s="29">
        <f>(1-EXP(-1*K11/25))</f>
        <v>0.0541678031136857</v>
      </c>
    </row>
    <row r="13" ht="15.15" spans="1:7">
      <c r="A13" s="11" t="s">
        <v>139</v>
      </c>
      <c r="B13" s="12">
        <f>F12</f>
        <v>72</v>
      </c>
      <c r="C13" s="13"/>
      <c r="D13" s="14"/>
      <c r="E13" s="7" t="s">
        <v>140</v>
      </c>
      <c r="F13" s="34">
        <v>90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0.000437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78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1.196</v>
      </c>
      <c r="G20" s="35" t="s">
        <v>147</v>
      </c>
      <c r="H20" s="36">
        <f>(B8*B12*B16)/1000000</f>
        <v>32.202144</v>
      </c>
      <c r="I20">
        <v>0.54</v>
      </c>
    </row>
    <row r="21" spans="1:8">
      <c r="A21" s="24" t="s">
        <v>148</v>
      </c>
      <c r="B21" s="25"/>
      <c r="C21" s="26">
        <f>ROUND(MAX(C29:C529),3)</f>
        <v>1.196</v>
      </c>
      <c r="G21" s="35"/>
      <c r="H21" s="36"/>
    </row>
    <row r="22" spans="1:7">
      <c r="A22" s="24" t="s">
        <v>149</v>
      </c>
      <c r="B22" s="25"/>
      <c r="C22" s="26">
        <f>ROUND(MAX(M28:M528),3)</f>
        <v>1.198</v>
      </c>
      <c r="G22" s="37"/>
    </row>
    <row r="23" ht="15.15" spans="1:6">
      <c r="A23" s="27" t="s">
        <v>150</v>
      </c>
      <c r="B23" s="28"/>
      <c r="C23" s="29">
        <f>ROUND(MAX(J28:J528),3)</f>
        <v>1.196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11.24836</v>
      </c>
      <c r="D26" s="7" t="s">
        <v>155</v>
      </c>
      <c r="E26" s="9">
        <f>B4-D7*0.5</f>
        <v>11.24836</v>
      </c>
      <c r="H26" s="7" t="s">
        <v>155</v>
      </c>
      <c r="I26" s="9">
        <f>B11-(D4+D11*0.5)</f>
        <v>21.60546</v>
      </c>
      <c r="K26" s="7" t="s">
        <v>155</v>
      </c>
      <c r="L26" s="9">
        <f>D4-D11*0.5</f>
        <v>11.40546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0.00441818119993739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0.00441818119993739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0.0044178607392292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0.00441887348641539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0.00912533953772256</v>
      </c>
      <c r="C30" s="31">
        <f t="shared" ref="C30:C93" si="4">IF(A30=" "," ",(B30-B29)/(B29-B28))</f>
        <v>1.06540635722498</v>
      </c>
      <c r="D30" s="31">
        <f t="shared" si="1"/>
        <v>2</v>
      </c>
      <c r="E30" s="31">
        <f>IF(D30=" "," ",($E$26-$B$3*($F$8))*((D30/($F$8))-($C$18/(PI()))*SIN((PI()*D30)/($F$8)))+$B$3*D30)</f>
        <v>0.00912533953772256</v>
      </c>
      <c r="F30" s="31">
        <f t="shared" ref="F30:F93" si="5">IF(D30=" "," ",(E30-E29)/(E29-E28))</f>
        <v>1.06540635722498</v>
      </c>
      <c r="G30" s="31"/>
      <c r="H30" s="31">
        <f t="shared" si="2"/>
        <v>2</v>
      </c>
      <c r="I30" s="31">
        <f>IF(H30=" "," ",($I$26-$D$3*$F$13)*((H30/$F$13)-($C$18/(PI()))*SIN((PI()*H30)/$F$13))+$D$3*H30)</f>
        <v>0.00912281593948923</v>
      </c>
      <c r="J30" s="31">
        <f t="shared" ref="J30:J93" si="6">IF(H30=" "," ",(I30-I29)/(I29-I28))</f>
        <v>1.06498495040405</v>
      </c>
      <c r="K30" s="31">
        <f t="shared" si="3"/>
        <v>2</v>
      </c>
      <c r="L30" s="31">
        <f>IF(K30=" "," ",($L$26-$D$3*$F$12)*((K30/$F$12)-($C$18/(PI()))*SIN((PI()*K30)/$F$12))+$D$3*K30)</f>
        <v>0.0091308762481355</v>
      </c>
      <c r="M30" s="31">
        <f t="shared" ref="M30:M93" si="7">IF(K30=" "," ",(L30-L29)/(L29-L28))</f>
        <v>1.06633574738129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0.014409902066797</v>
      </c>
      <c r="C31" s="31">
        <f t="shared" si="4"/>
        <v>1.12266513039392</v>
      </c>
      <c r="D31" s="31">
        <f t="shared" si="1"/>
        <v>3</v>
      </c>
      <c r="E31" s="31">
        <f>IF(D31=" "," ",($E$26-$B$3*($F$8))*((D31/($F$8))-($C$18/(PI()))*SIN((PI()*D31)/($F$8)))+$B$3*D31)</f>
        <v>0.014409902066797</v>
      </c>
      <c r="F31" s="31">
        <f t="shared" si="5"/>
        <v>1.12266513039392</v>
      </c>
      <c r="G31" s="31"/>
      <c r="H31" s="31">
        <f t="shared" si="2"/>
        <v>3</v>
      </c>
      <c r="I31" s="31">
        <f>IF(H31=" "," ",($I$26-$D$3*$F$13)*((H31/$F$13)-($C$18/(PI()))*SIN((PI()*H31)/$F$13))+$D$3*H31)</f>
        <v>0.014401610281434</v>
      </c>
      <c r="J31" s="31">
        <f t="shared" si="6"/>
        <v>1.12196484711545</v>
      </c>
      <c r="K31" s="31">
        <f t="shared" si="3"/>
        <v>3</v>
      </c>
      <c r="L31" s="31">
        <f>IF(K31=" "," ",($L$26-$D$3*$F$12)*((K31/$F$12)-($C$18/(PI()))*SIN((PI()*K31)/$F$12))+$D$3*K31)</f>
        <v>0.0144285795722291</v>
      </c>
      <c r="M31" s="31">
        <f t="shared" si="7"/>
        <v>1.12429970693814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0.0205591967189065</v>
      </c>
      <c r="C32" s="31">
        <f t="shared" si="4"/>
        <v>1.16363362497417</v>
      </c>
      <c r="D32" s="31">
        <f t="shared" si="1"/>
        <v>4</v>
      </c>
      <c r="E32" s="31">
        <f>IF(D32=" "," ",($E$26-$B$3*($F$8))*((D32/($F$8))-($C$18/(PI()))*SIN((PI()*D32)/($F$8)))+$B$3*D32)</f>
        <v>0.0205591967189065</v>
      </c>
      <c r="F32" s="31">
        <f t="shared" si="5"/>
        <v>1.16363362497417</v>
      </c>
      <c r="G32" s="31"/>
      <c r="H32" s="31">
        <f t="shared" si="2"/>
        <v>4</v>
      </c>
      <c r="I32" s="31">
        <f>IF(H32=" "," ",($I$26-$D$3*$F$13)*((H32/$F$13)-($C$18/(PI()))*SIN((PI()*H32)/$F$13))+$D$3*H32)</f>
        <v>0.0205402893111159</v>
      </c>
      <c r="J32" s="31">
        <f t="shared" si="6"/>
        <v>1.16289414438911</v>
      </c>
      <c r="K32" s="31">
        <f t="shared" si="3"/>
        <v>4</v>
      </c>
      <c r="L32" s="31">
        <f>IF(K32=" "," ",($L$26-$D$3*$F$12)*((K32/$F$12)-($C$18/(PI()))*SIN((PI()*K32)/$F$12))+$D$3*K32)</f>
        <v>0.0206034398314556</v>
      </c>
      <c r="M32" s="31">
        <f t="shared" si="7"/>
        <v>1.16557305712903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0.0278589053590526</v>
      </c>
      <c r="C33" s="31">
        <f t="shared" si="4"/>
        <v>1.18708064145892</v>
      </c>
      <c r="D33" s="31">
        <f t="shared" si="1"/>
        <v>5</v>
      </c>
      <c r="E33" s="31">
        <f>IF(D33=" "," ",($E$26-$B$3*($F$8))*((D33/($F$8))-($C$18/(PI()))*SIN((PI()*D33)/($F$8)))+$B$3*D33)</f>
        <v>0.0278589053590526</v>
      </c>
      <c r="F33" s="31">
        <f t="shared" si="5"/>
        <v>1.18708064145892</v>
      </c>
      <c r="G33" s="31"/>
      <c r="H33" s="31">
        <f t="shared" si="2"/>
        <v>5</v>
      </c>
      <c r="I33" s="31">
        <f>IF(H33=" "," ",($I$26-$D$3*$F$13)*((H33/$F$13)-($C$18/(PI()))*SIN((PI()*H33)/$F$13))+$D$3*H33)</f>
        <v>0.027823850937551</v>
      </c>
      <c r="J33" s="31">
        <f t="shared" si="6"/>
        <v>1.18650308824054</v>
      </c>
      <c r="K33" s="31">
        <f t="shared" si="3"/>
        <v>5</v>
      </c>
      <c r="L33" s="31">
        <f>IF(K33=" "," ",($L$26-$D$3*$F$12)*((K33/$F$12)-($C$18/(PI()))*SIN((PI()*K33)/$F$12))+$D$3*K33)</f>
        <v>0.0279452436804937</v>
      </c>
      <c r="M33" s="31">
        <f t="shared" si="7"/>
        <v>1.18898299569905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0.0365925199738253</v>
      </c>
      <c r="C34" s="31">
        <f t="shared" si="4"/>
        <v>1.19643331608342</v>
      </c>
      <c r="D34" s="31">
        <f t="shared" si="1"/>
        <v>6</v>
      </c>
      <c r="E34" s="31">
        <f>IF(D34=" "," ",($E$26-$B$3*($F$8))*((D34/($F$8))-($C$18/(PI()))*SIN((PI()*D34)/($F$8)))+$B$3*D34)</f>
        <v>0.0365925199738253</v>
      </c>
      <c r="F34" s="31">
        <f t="shared" si="5"/>
        <v>1.19643331608342</v>
      </c>
      <c r="G34" s="31"/>
      <c r="H34" s="31">
        <f t="shared" si="2"/>
        <v>6</v>
      </c>
      <c r="I34" s="31">
        <f>IF(H34=" "," ",($I$26-$D$3*$F$13)*((H34/$F$13)-($C$18/(PI()))*SIN((PI()*H34)/$F$13))+$D$3*H34)</f>
        <v>0.0365358982066663</v>
      </c>
      <c r="J34" s="31">
        <f t="shared" si="6"/>
        <v>1.19612460440997</v>
      </c>
      <c r="K34" s="31">
        <f t="shared" si="3"/>
        <v>6</v>
      </c>
      <c r="L34" s="31">
        <f>IF(K34=" "," ",($L$26-$D$3*$F$12)*((K34/$F$12)-($C$18/(PI()))*SIN((PI()*K34)/$F$12))+$D$3*K34)</f>
        <v>0.0367415564305745</v>
      </c>
      <c r="M34" s="31">
        <f t="shared" si="7"/>
        <v>1.19811328808972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0.0470408030282939</v>
      </c>
      <c r="C35" s="31">
        <f t="shared" si="4"/>
        <v>1.19632975753196</v>
      </c>
      <c r="D35" s="31">
        <f t="shared" si="1"/>
        <v>7</v>
      </c>
      <c r="E35" s="31">
        <f>IF(D35=" "," ",($E$26-$B$3*($F$8))*((D35/($F$8))-($C$18/(PI()))*SIN((PI()*D35)/($F$8)))+$B$3*D35)</f>
        <v>0.0470408030282939</v>
      </c>
      <c r="F35" s="31">
        <f t="shared" si="5"/>
        <v>1.19632975753196</v>
      </c>
      <c r="G35" s="31"/>
      <c r="H35" s="31">
        <f t="shared" si="2"/>
        <v>7</v>
      </c>
      <c r="I35" s="31">
        <f>IF(H35=" "," ",($I$26-$D$3*$F$13)*((H35/$F$13)-($C$18/(PI()))*SIN((PI()*H35)/$F$13))+$D$3*H35)</f>
        <v>0.0469582937746745</v>
      </c>
      <c r="J35" s="31">
        <f t="shared" si="6"/>
        <v>1.196319905765</v>
      </c>
      <c r="K35" s="31">
        <f t="shared" si="3"/>
        <v>7</v>
      </c>
      <c r="L35" s="31">
        <f>IF(K35=" "," ",($L$26-$D$3*$F$12)*((K35/$F$12)-($C$18/(PI()))*SIN((PI()*K35)/$F$12))+$D$3*K35)</f>
        <v>0.0472771746525668</v>
      </c>
      <c r="M35" s="31">
        <f t="shared" si="7"/>
        <v>1.19773119957513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0.0594812530186978</v>
      </c>
      <c r="C36" s="31">
        <f t="shared" si="4"/>
        <v>1.19066931146005</v>
      </c>
      <c r="D36" s="31">
        <f t="shared" si="1"/>
        <v>8</v>
      </c>
      <c r="E36" s="31">
        <f>IF(D36=" "," ",($E$26-$B$3*($F$8))*((D36/($F$8))-($C$18/(PI()))*SIN((PI()*D36)/($F$8)))+$B$3*D36)</f>
        <v>0.0594812530186978</v>
      </c>
      <c r="F36" s="31">
        <f t="shared" si="5"/>
        <v>1.19066931146005</v>
      </c>
      <c r="G36" s="31"/>
      <c r="H36" s="31">
        <f t="shared" si="2"/>
        <v>8</v>
      </c>
      <c r="I36" s="31">
        <f>IF(H36=" "," ",($I$26-$D$3*$F$13)*((H36/$F$13)-($C$18/(PI()))*SIN((PI()*H36)/$F$13))+$D$3*H36)</f>
        <v>0.0593708165018464</v>
      </c>
      <c r="J36" s="31">
        <f t="shared" si="6"/>
        <v>1.19094719118823</v>
      </c>
      <c r="K36" s="31">
        <f t="shared" si="3"/>
        <v>8</v>
      </c>
      <c r="L36" s="31">
        <f>IF(K36=" "," ",($L$26-$D$3*$F$12)*((K36/$F$12)-($C$18/(PI()))*SIN((PI()*K36)/$F$12))+$D$3*K36)</f>
        <v>0.0598335840505184</v>
      </c>
      <c r="M36" s="31">
        <f t="shared" si="7"/>
        <v>1.19180565709385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0.0741875762382858</v>
      </c>
      <c r="C37" s="31">
        <f t="shared" si="4"/>
        <v>1.18213756181906</v>
      </c>
      <c r="D37" s="31">
        <f t="shared" si="1"/>
        <v>9</v>
      </c>
      <c r="E37" s="31">
        <f>IF(D37=" "," ",($E$26-$B$3*($F$8))*((D37/($F$8))-($C$18/(PI()))*SIN((PI()*D37)/($F$8)))+$B$3*D37)</f>
        <v>0.0741875762382858</v>
      </c>
      <c r="F37" s="31">
        <f t="shared" si="5"/>
        <v>1.18213756181906</v>
      </c>
      <c r="G37" s="31"/>
      <c r="H37" s="31">
        <f t="shared" si="2"/>
        <v>9</v>
      </c>
      <c r="I37" s="31">
        <f>IF(H37=" "," ",($I$26-$D$3*$F$13)*((H37/$F$13)-($C$18/(PI()))*SIN((PI()*H37)/$F$13))+$D$3*H37)</f>
        <v>0.074050820585063</v>
      </c>
      <c r="J37" s="31">
        <f t="shared" si="6"/>
        <v>1.18267691474843</v>
      </c>
      <c r="K37" s="31">
        <f t="shared" si="3"/>
        <v>9</v>
      </c>
      <c r="L37" s="31">
        <f>IF(K37=" "," ",($L$26-$D$3*$F$12)*((K37/$F$12)-($C$18/(PI()))*SIN((PI()*K37)/$F$12))+$D$3*K37)</f>
        <v>0.0746884236376187</v>
      </c>
      <c r="M37" s="31">
        <f t="shared" si="7"/>
        <v>1.18304836329435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0.0914291657618317</v>
      </c>
      <c r="C38" s="31">
        <f t="shared" si="4"/>
        <v>1.1723929405129</v>
      </c>
      <c r="D38" s="31">
        <f t="shared" si="1"/>
        <v>10</v>
      </c>
      <c r="E38" s="31">
        <f>IF(D38=" "," ",($E$26-$B$3*($F$8))*((D38/($F$8))-($C$18/(PI()))*SIN((PI()*D38)/($F$8)))+$B$3*D38)</f>
        <v>0.0914291657618317</v>
      </c>
      <c r="F38" s="31">
        <f t="shared" si="5"/>
        <v>1.1723929405129</v>
      </c>
      <c r="G38" s="31"/>
      <c r="H38" s="31">
        <f t="shared" si="2"/>
        <v>10</v>
      </c>
      <c r="I38" s="31">
        <f>IF(H38=" "," ",($I$26-$D$3*$F$13)*((H38/$F$13)-($C$18/(PI()))*SIN((PI()*H38)/$F$13))+$D$3*H38)</f>
        <v>0.0912728976444522</v>
      </c>
      <c r="J38" s="31">
        <f t="shared" si="6"/>
        <v>1.17316568590598</v>
      </c>
      <c r="K38" s="31">
        <f t="shared" si="3"/>
        <v>10</v>
      </c>
      <c r="L38" s="31">
        <f>IF(K38=" "," ",($L$26-$D$3*$F$12)*((K38/$F$12)-($C$18/(PI()))*SIN((PI()*K38)/$F$12))+$D$3*K38)</f>
        <v>0.0921149572345586</v>
      </c>
      <c r="M38" s="31">
        <f t="shared" si="7"/>
        <v>1.1731216277874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0.111470588640605</v>
      </c>
      <c r="C39" s="31">
        <f t="shared" si="4"/>
        <v>1.16238835470498</v>
      </c>
      <c r="D39" s="31">
        <f t="shared" si="1"/>
        <v>11</v>
      </c>
      <c r="E39" s="31">
        <f>IF(D39=" "," ",($E$26-$B$3*($F$8))*((D39/($F$8))-($C$18/(PI()))*SIN((PI()*D39)/($F$8)))+$B$3*D39)</f>
        <v>0.111470588640605</v>
      </c>
      <c r="F39" s="31">
        <f t="shared" si="5"/>
        <v>1.16238835470498</v>
      </c>
      <c r="G39" s="31"/>
      <c r="H39" s="31">
        <f t="shared" si="2"/>
        <v>11</v>
      </c>
      <c r="I39" s="31">
        <f>IF(H39=" "," ",($I$26-$D$3*$F$13)*((H39/$F$13)-($C$18/(PI()))*SIN((PI()*H39)/$F$13))+$D$3*H39)</f>
        <v>0.111308542175798</v>
      </c>
      <c r="J39" s="31">
        <f t="shared" si="6"/>
        <v>1.16336981086858</v>
      </c>
      <c r="K39" s="31">
        <f t="shared" si="3"/>
        <v>11</v>
      </c>
      <c r="L39" s="31">
        <f>IF(K39=" "," ",($L$26-$D$3*$F$12)*((K39/$F$12)-($C$18/(PI()))*SIN((PI()*K39)/$F$12))+$D$3*K39)</f>
        <v>0.112381553296316</v>
      </c>
      <c r="M39" s="31">
        <f t="shared" si="7"/>
        <v>1.16297345935258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0.134571082283949</v>
      </c>
      <c r="C40" s="31">
        <f t="shared" si="4"/>
        <v>1.15263740419404</v>
      </c>
      <c r="D40" s="31">
        <f t="shared" si="1"/>
        <v>12</v>
      </c>
      <c r="E40" s="31">
        <f>IF(D40=" "," ",($E$26-$B$3*($F$8))*((D40/($F$8))-($C$18/(PI()))*SIN((PI()*D40)/($F$8)))+$B$3*D40)</f>
        <v>0.134571082283949</v>
      </c>
      <c r="F40" s="31">
        <f t="shared" si="5"/>
        <v>1.15263740419404</v>
      </c>
      <c r="G40" s="31"/>
      <c r="H40" s="31">
        <f t="shared" si="2"/>
        <v>12</v>
      </c>
      <c r="I40" s="31">
        <f>IF(H40=" "," ",($I$26-$D$3*$F$13)*((H40/$F$13)-($C$18/(PI()))*SIN((PI()*H40)/$F$13))+$D$3*H40)</f>
        <v>0.134425820776316</v>
      </c>
      <c r="J40" s="31">
        <f t="shared" si="6"/>
        <v>1.15380758349706</v>
      </c>
      <c r="K40" s="31">
        <f t="shared" si="3"/>
        <v>12</v>
      </c>
      <c r="L40" s="31">
        <f>IF(K40=" "," ",($L$26-$D$3*$F$12)*((K40/$F$12)-($C$18/(PI()))*SIN((PI()*K40)/$F$12))+$D$3*K40)</f>
        <v>0.135751174057545</v>
      </c>
      <c r="M40" s="31">
        <f t="shared" si="7"/>
        <v>1.15311030476046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0.160984060986143</v>
      </c>
      <c r="C41" s="31">
        <f t="shared" si="4"/>
        <v>1.14339455727626</v>
      </c>
      <c r="D41" s="31">
        <f t="shared" si="1"/>
        <v>13</v>
      </c>
      <c r="E41" s="31">
        <f>IF(D41=" "," ",($E$26-$B$3*($F$8))*((D41/($F$8))-($C$18/(PI()))*SIN((PI()*D41)/($F$8)))+$B$3*D41)</f>
        <v>0.160984060986143</v>
      </c>
      <c r="F41" s="31">
        <f t="shared" si="5"/>
        <v>1.14339455727626</v>
      </c>
      <c r="G41" s="31"/>
      <c r="H41" s="31">
        <f t="shared" si="2"/>
        <v>13</v>
      </c>
      <c r="I41" s="31">
        <f>IF(H41=" "," ",($I$26-$D$3*$F$13)*((H41/$F$13)-($C$18/(PI()))*SIN((PI()*H41)/$F$13))+$D$3*H41)</f>
        <v>0.160889045546796</v>
      </c>
      <c r="J41" s="31">
        <f t="shared" si="6"/>
        <v>1.14473789185059</v>
      </c>
      <c r="K41" s="31">
        <f t="shared" si="3"/>
        <v>13</v>
      </c>
      <c r="L41" s="31">
        <f>IF(K41=" "," ",($L$26-$D$3*$F$12)*((K41/$F$12)-($C$18/(PI()))*SIN((PI()*K41)/$F$12))+$D$3*K41)</f>
        <v>0.162480874969026</v>
      </c>
      <c r="M41" s="31">
        <f t="shared" si="7"/>
        <v>1.14377983214109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0.190956633537888</v>
      </c>
      <c r="C42" s="31">
        <f t="shared" si="4"/>
        <v>1.13476684662056</v>
      </c>
      <c r="D42" s="31">
        <f t="shared" si="1"/>
        <v>14</v>
      </c>
      <c r="E42" s="31">
        <f>IF(D42=" "," ",($E$26-$B$3*($F$8))*((D42/($F$8))-($C$18/(PI()))*SIN((PI()*D42)/($F$8)))+$B$3*D42)</f>
        <v>0.190956633537888</v>
      </c>
      <c r="F42" s="31">
        <f t="shared" si="5"/>
        <v>1.13476684662056</v>
      </c>
      <c r="G42" s="31"/>
      <c r="H42" s="31">
        <f t="shared" si="2"/>
        <v>14</v>
      </c>
      <c r="I42" s="31">
        <f>IF(H42=" "," ",($I$26-$D$3*$F$13)*((H42/$F$13)-($C$18/(PI()))*SIN((PI()*H42)/$F$13))+$D$3*H42)</f>
        <v>0.190958452068027</v>
      </c>
      <c r="J42" s="31">
        <f t="shared" si="6"/>
        <v>1.13627144016</v>
      </c>
      <c r="K42" s="31">
        <f t="shared" si="3"/>
        <v>14</v>
      </c>
      <c r="L42" s="31">
        <f>IF(K42=" "," ",($L$26-$D$3*$F$12)*((K42/$F$12)-($C$18/(PI()))*SIN((PI()*K42)/$F$12))+$D$3*K42)</f>
        <v>0.192821315377994</v>
      </c>
      <c r="M42" s="31">
        <f t="shared" si="7"/>
        <v>1.13508342309723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0.224729132840676</v>
      </c>
      <c r="C43" s="31">
        <f t="shared" si="4"/>
        <v>1.12678013355318</v>
      </c>
      <c r="D43" s="31">
        <f t="shared" si="1"/>
        <v>15</v>
      </c>
      <c r="E43" s="31">
        <f>IF(D43=" "," ",($E$26-$B$3*($F$8))*((D43/($F$8))-($C$18/(PI()))*SIN((PI()*D43)/($F$8)))+$B$3*D43)</f>
        <v>0.224729132840676</v>
      </c>
      <c r="F43" s="31">
        <f t="shared" si="5"/>
        <v>1.12678013355318</v>
      </c>
      <c r="G43" s="31"/>
      <c r="H43" s="31">
        <f t="shared" si="2"/>
        <v>15</v>
      </c>
      <c r="I43" s="31">
        <f>IF(H43=" "," ",($I$26-$D$3*$F$13)*((H43/$F$13)-($C$18/(PI()))*SIN((PI()*H43)/$F$13))+$D$3*H43)</f>
        <v>0.224889882343822</v>
      </c>
      <c r="J43" s="31">
        <f t="shared" si="6"/>
        <v>1.12843697968686</v>
      </c>
      <c r="K43" s="31">
        <f t="shared" si="3"/>
        <v>15</v>
      </c>
      <c r="L43" s="31">
        <f>IF(K43=" "," ",($L$26-$D$3*$F$12)*((K43/$F$12)-($C$18/(PI()))*SIN((PI()*K43)/$F$12))+$D$3*K43)</f>
        <v>0.227016281383832</v>
      </c>
      <c r="M43" s="31">
        <f t="shared" si="7"/>
        <v>1.12704250646703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0.262534658419455</v>
      </c>
      <c r="C44" s="31">
        <f t="shared" si="4"/>
        <v>1.11941746566735</v>
      </c>
      <c r="D44" s="31">
        <f t="shared" si="1"/>
        <v>16</v>
      </c>
      <c r="E44" s="31">
        <f>IF(D44=" "," ",($E$26-$B$3*($F$8))*((D44/($F$8))-($C$18/(PI()))*SIN((PI()*D44)/($F$8)))+$B$3*D44)</f>
        <v>0.262534658419455</v>
      </c>
      <c r="F44" s="31">
        <f t="shared" si="5"/>
        <v>1.11941746566735</v>
      </c>
      <c r="G44" s="31"/>
      <c r="H44" s="31">
        <f t="shared" si="2"/>
        <v>16</v>
      </c>
      <c r="I44" s="31">
        <f>IF(H44=" "," ",($I$26-$D$3*$F$13)*((H44/$F$13)-($C$18/(PI()))*SIN((PI()*H44)/$F$13))+$D$3*H44)</f>
        <v>0.262934473096947</v>
      </c>
      <c r="J44" s="31">
        <f t="shared" si="6"/>
        <v>1.12121977894533</v>
      </c>
      <c r="K44" s="31">
        <f t="shared" si="3"/>
        <v>16</v>
      </c>
      <c r="L44" s="31">
        <f>IF(K44=" "," ",($L$26-$D$3*$F$12)*((K44/$F$12)-($C$18/(PI()))*SIN((PI()*K44)/$F$12))+$D$3*K44)</f>
        <v>0.265302221777369</v>
      </c>
      <c r="M44" s="31">
        <f t="shared" si="7"/>
        <v>1.119636743812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0.304598632704436</v>
      </c>
      <c r="C45" s="31">
        <f t="shared" si="4"/>
        <v>1.11264090740725</v>
      </c>
      <c r="D45" s="31">
        <f t="shared" si="1"/>
        <v>17</v>
      </c>
      <c r="E45" s="31">
        <f>IF(D45=" "," ",($E$26-$B$3*($F$8))*((D45/($F$8))-($C$18/(PI()))*SIN((PI()*D45)/($F$8)))+$B$3*D45)</f>
        <v>0.304598632704436</v>
      </c>
      <c r="F45" s="31">
        <f t="shared" si="5"/>
        <v>1.11264090740725</v>
      </c>
      <c r="G45" s="31"/>
      <c r="H45" s="31">
        <f t="shared" si="2"/>
        <v>17</v>
      </c>
      <c r="I45" s="31">
        <f>IF(H45=" "," ",($I$26-$D$3*$F$13)*((H45/$F$13)-($C$18/(PI()))*SIN((PI()*H45)/$F$13))+$D$3*H45)</f>
        <v>0.305338349797711</v>
      </c>
      <c r="J45" s="31">
        <f t="shared" si="6"/>
        <v>1.11458359418103</v>
      </c>
      <c r="K45" s="31">
        <f t="shared" si="3"/>
        <v>17</v>
      </c>
      <c r="L45" s="31">
        <f>IF(K45=" "," ",($L$26-$D$3*$F$12)*((K45/$F$12)-($C$18/(PI()))*SIN((PI()*K45)/$F$12))+$D$3*K45)</f>
        <v>0.307907797947177</v>
      </c>
      <c r="M45" s="31">
        <f t="shared" si="7"/>
        <v>1.11282564126331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0.351138371926682</v>
      </c>
      <c r="C46" s="31">
        <f t="shared" si="4"/>
        <v>1.10640375792697</v>
      </c>
      <c r="D46" s="31">
        <f t="shared" si="1"/>
        <v>18</v>
      </c>
      <c r="E46" s="31">
        <f>IF(D46=" "," ",($E$26-$B$3*($F$8))*((D46/($F$8))-($C$18/(PI()))*SIN((PI()*D46)/($F$8)))+$B$3*D46)</f>
        <v>0.351138371926682</v>
      </c>
      <c r="F46" s="31">
        <f t="shared" si="5"/>
        <v>1.10640375792697</v>
      </c>
      <c r="G46" s="31"/>
      <c r="H46" s="31">
        <f t="shared" si="2"/>
        <v>18</v>
      </c>
      <c r="I46" s="31">
        <f>IF(H46=" "," ",($I$26-$D$3*$F$13)*((H46/$F$13)-($C$18/(PI()))*SIN((PI()*H46)/$F$13))+$D$3*H46)</f>
        <v>0.352342326797996</v>
      </c>
      <c r="J46" s="31">
        <f t="shared" si="6"/>
        <v>1.10848301281468</v>
      </c>
      <c r="K46" s="31">
        <f t="shared" si="3"/>
        <v>18</v>
      </c>
      <c r="L46" s="31">
        <f>IF(K46=" "," ",($L$26-$D$3*$F$12)*((K46/$F$12)-($C$18/(PI()))*SIN((PI()*K46)/$F$12))+$D$3*K46)</f>
        <v>0.355053448609611</v>
      </c>
      <c r="M46" s="31">
        <f t="shared" si="7"/>
        <v>1.10656057025333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0.402362672444312</v>
      </c>
      <c r="C47" s="31">
        <f t="shared" si="4"/>
        <v>1.10065723129675</v>
      </c>
      <c r="D47" s="31">
        <f t="shared" si="1"/>
        <v>19</v>
      </c>
      <c r="E47" s="31">
        <f>IF(D47=" "," ",($E$26-$B$3*($F$8))*((D47/($F$8))-($C$18/(PI()))*SIN((PI()*D47)/($F$8)))+$B$3*D47)</f>
        <v>0.402362672444312</v>
      </c>
      <c r="F47" s="31">
        <f t="shared" si="5"/>
        <v>1.10065723129675</v>
      </c>
      <c r="G47" s="31"/>
      <c r="H47" s="31">
        <f t="shared" si="2"/>
        <v>19</v>
      </c>
      <c r="I47" s="31">
        <f>IF(H47=" "," ",($I$26-$D$3*$F$13)*((H47/$F$13)-($C$18/(PI()))*SIN((PI()*H47)/$F$13))+$D$3*H47)</f>
        <v>0.404181613936056</v>
      </c>
      <c r="J47" s="31">
        <f t="shared" si="6"/>
        <v>1.10287023452814</v>
      </c>
      <c r="K47" s="31">
        <f t="shared" si="3"/>
        <v>19</v>
      </c>
      <c r="L47" s="31">
        <f>IF(K47=" "," ",($L$26-$D$3*$F$12)*((K47/$F$12)-($C$18/(PI()))*SIN((PI()*K47)/$F$12))+$D$3*K47)</f>
        <v>0.40695097019119</v>
      </c>
      <c r="M47" s="31">
        <f t="shared" si="7"/>
        <v>1.10079128938465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0.458471413286767</v>
      </c>
      <c r="C48" s="31">
        <f t="shared" si="4"/>
        <v>1.09535396824293</v>
      </c>
      <c r="D48" s="31">
        <f t="shared" si="1"/>
        <v>20</v>
      </c>
      <c r="E48" s="31">
        <f>IF(D48=" "," ",($E$26-$B$3*($F$8))*((D48/($F$8))-($C$18/(PI()))*SIN((PI()*D48)/($F$8)))+$B$3*D48)</f>
        <v>0.458471413286767</v>
      </c>
      <c r="F48" s="31">
        <f t="shared" si="5"/>
        <v>1.09535396824293</v>
      </c>
      <c r="G48" s="31"/>
      <c r="H48" s="31">
        <f t="shared" si="2"/>
        <v>20</v>
      </c>
      <c r="I48" s="31">
        <f>IF(H48=" "," ",($I$26-$D$3*$F$13)*((H48/$F$13)-($C$18/(PI()))*SIN((PI()*H48)/$F$13))+$D$3*H48)</f>
        <v>0.461085529969564</v>
      </c>
      <c r="J48" s="31">
        <f t="shared" si="6"/>
        <v>1.09769866012933</v>
      </c>
      <c r="K48" s="31">
        <f t="shared" si="3"/>
        <v>20</v>
      </c>
      <c r="L48" s="31">
        <f>IF(K48=" "," ",($L$26-$D$3*$F$12)*((K48/$F$12)-($C$18/(PI()))*SIN((PI()*K48)/$F$12))+$D$3*K48)</f>
        <v>0.46380311366206</v>
      </c>
      <c r="M48" s="31">
        <f t="shared" si="7"/>
        <v>1.09546933530346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0.519655175673715</v>
      </c>
      <c r="C49" s="31">
        <f t="shared" si="4"/>
        <v>1.09044974933129</v>
      </c>
      <c r="D49" s="31">
        <f t="shared" si="1"/>
        <v>21</v>
      </c>
      <c r="E49" s="31">
        <f>IF(D49=" "," ",($E$26-$B$3*($F$8))*((D49/($F$8))-($C$18/(PI()))*SIN((PI()*D49)/($F$8)))+$B$3*D49)</f>
        <v>0.519655175673715</v>
      </c>
      <c r="F49" s="31">
        <f t="shared" si="5"/>
        <v>1.09044974933129</v>
      </c>
      <c r="G49" s="31"/>
      <c r="H49" s="31">
        <f t="shared" si="2"/>
        <v>21</v>
      </c>
      <c r="I49" s="31">
        <f>IF(H49=" "," ",($I$26-$D$3*$F$13)*((H49/$F$13)-($C$18/(PI()))*SIN((PI()*H49)/$F$13))+$D$3*H49)</f>
        <v>0.523277223186035</v>
      </c>
      <c r="J49" s="31">
        <f t="shared" si="6"/>
        <v>1.09292466233516</v>
      </c>
      <c r="K49" s="31">
        <f t="shared" si="3"/>
        <v>21</v>
      </c>
      <c r="L49" s="31">
        <f>IF(K49=" "," ",($L$26-$D$3*$F$12)*((K49/$F$12)-($C$18/(PI()))*SIN((PI()*K49)/$F$12))+$D$3*K49)</f>
        <v>0.525803198587997</v>
      </c>
      <c r="M49" s="31">
        <f t="shared" si="7"/>
        <v>1.09054964581425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0.586094880232872</v>
      </c>
      <c r="C50" s="31">
        <f t="shared" si="4"/>
        <v>1.08590420018578</v>
      </c>
      <c r="D50" s="31">
        <f t="shared" si="1"/>
        <v>22</v>
      </c>
      <c r="E50" s="31">
        <f>IF(D50=" "," ",($E$26-$B$3*($F$8))*((D50/($F$8))-($C$18/(PI()))*SIN((PI()*D50)/($F$8)))+$B$3*D50)</f>
        <v>0.586094880232872</v>
      </c>
      <c r="F50" s="31">
        <f t="shared" si="5"/>
        <v>1.08590420018578</v>
      </c>
      <c r="G50" s="31"/>
      <c r="H50" s="31">
        <f t="shared" si="2"/>
        <v>22</v>
      </c>
      <c r="I50" s="31">
        <f>IF(H50=" "," ",($I$26-$D$3*$F$13)*((H50/$F$13)-($C$18/(PI()))*SIN((PI()*H50)/$F$13))+$D$3*H50)</f>
        <v>0.590973399531</v>
      </c>
      <c r="J50" s="31">
        <f t="shared" si="6"/>
        <v>1.08850833357014</v>
      </c>
      <c r="K50" s="31">
        <f t="shared" si="3"/>
        <v>22</v>
      </c>
      <c r="L50" s="31">
        <f>IF(K50=" "," ",($L$26-$D$3*$F$12)*((K50/$F$12)-($C$18/(PI()))*SIN((PI()*K50)/$F$12))+$D$3*K50)</f>
        <v>0.59313474513563</v>
      </c>
      <c r="M50" s="31">
        <f t="shared" si="7"/>
        <v>1.08599119869052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0.657961442607296</v>
      </c>
      <c r="C51" s="31">
        <f t="shared" si="4"/>
        <v>1.08168094441834</v>
      </c>
      <c r="D51" s="31">
        <f t="shared" si="1"/>
        <v>23</v>
      </c>
      <c r="E51" s="31">
        <f>IF(D51=" "," ",($E$26-$B$3*($F$8))*((D51/($F$8))-($C$18/(PI()))*SIN((PI()*D51)/($F$8)))+$B$3*D51)</f>
        <v>0.657961442607296</v>
      </c>
      <c r="F51" s="31">
        <f t="shared" si="5"/>
        <v>1.08168094441834</v>
      </c>
      <c r="G51" s="31"/>
      <c r="H51" s="31">
        <f t="shared" si="2"/>
        <v>23</v>
      </c>
      <c r="I51" s="31">
        <f>IF(H51=" "," ",($I$26-$D$3*$F$13)*((H51/$F$13)-($C$18/(PI()))*SIN((PI()*H51)/$F$13))+$D$3*H51)</f>
        <v>0.664384058585203</v>
      </c>
      <c r="J51" s="31">
        <f t="shared" si="6"/>
        <v>1.08441367028055</v>
      </c>
      <c r="K51" s="31">
        <f t="shared" si="3"/>
        <v>23</v>
      </c>
      <c r="L51" s="31">
        <f>IF(K51=" "," ",($L$26-$D$3*$F$12)*((K51/$F$12)-($C$18/(PI()))*SIN((PI()*K51)/$F$12))+$D$3*K51)</f>
        <v>0.665971124731368</v>
      </c>
      <c r="M51" s="31">
        <f t="shared" si="7"/>
        <v>1.08175711580025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0.735415448107755</v>
      </c>
      <c r="C52" s="31">
        <f t="shared" si="4"/>
        <v>1.07774746615713</v>
      </c>
      <c r="D52" s="31">
        <f t="shared" si="1"/>
        <v>24</v>
      </c>
      <c r="E52" s="31">
        <f>IF(D52=" "," ",($E$26-$B$3*($F$8))*((D52/($F$8))-($C$18/(PI()))*SIN((PI()*D52)/($F$8)))+$B$3*D52)</f>
        <v>0.735415448107755</v>
      </c>
      <c r="F52" s="31">
        <f t="shared" si="5"/>
        <v>1.07774746615713</v>
      </c>
      <c r="G52" s="31"/>
      <c r="H52" s="31">
        <f t="shared" si="2"/>
        <v>24</v>
      </c>
      <c r="I52" s="31">
        <f>IF(H52=" "," ",($I$26-$D$3*$F$13)*((H52/$F$13)-($C$18/(PI()))*SIN((PI()*H52)/$F$13))+$D$3*H52)</f>
        <v>0.743712237712455</v>
      </c>
      <c r="J52" s="31">
        <f t="shared" si="6"/>
        <v>1.0806084586256</v>
      </c>
      <c r="K52" s="31">
        <f t="shared" si="3"/>
        <v>24</v>
      </c>
      <c r="L52" s="31">
        <f>IF(K52=" "," ",($L$26-$D$3*$F$12)*((K52/$F$12)-($C$18/(PI()))*SIN((PI()*K52)/$F$12))+$D$3*K52)</f>
        <v>0.74447523003904</v>
      </c>
      <c r="M52" s="31">
        <f t="shared" si="7"/>
        <v>1.07781448972879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0.818606846029455</v>
      </c>
      <c r="C53" s="31">
        <f t="shared" si="4"/>
        <v>1.07407483169102</v>
      </c>
      <c r="D53" s="31">
        <f t="shared" si="1"/>
        <v>25</v>
      </c>
      <c r="E53" s="31">
        <f>IF(D53=" "," ",($E$26-$B$3*($F$8))*((D53/($F$8))-($C$18/(PI()))*SIN((PI()*D53)/($F$8)))+$B$3*D53)</f>
        <v>0.818606846029455</v>
      </c>
      <c r="F53" s="31">
        <f t="shared" si="5"/>
        <v>1.07407483169102</v>
      </c>
      <c r="G53" s="31"/>
      <c r="H53" s="31">
        <f t="shared" si="2"/>
        <v>25</v>
      </c>
      <c r="I53" s="31">
        <f>IF(H53=" "," ",($I$26-$D$3*$F$13)*((H53/$F$13)-($C$18/(PI()))*SIN((PI()*H53)/$F$13))+$D$3*H53)</f>
        <v>0.829153764689879</v>
      </c>
      <c r="J53" s="31">
        <f t="shared" si="6"/>
        <v>1.07706401328544</v>
      </c>
      <c r="K53" s="31">
        <f t="shared" si="3"/>
        <v>25</v>
      </c>
      <c r="L53" s="31">
        <f>IF(K53=" "," ",($L$26-$D$3*$F$12)*((K53/$F$12)-($C$18/(PI()))*SIN((PI()*K53)/$F$12))+$D$3*K53)</f>
        <v>0.828799164884449</v>
      </c>
      <c r="M53" s="31">
        <f t="shared" si="7"/>
        <v>1.07413407891127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0.907674664215038</v>
      </c>
      <c r="C54" s="31">
        <f t="shared" si="4"/>
        <v>1.07063735447039</v>
      </c>
      <c r="D54" s="31">
        <f t="shared" si="1"/>
        <v>26</v>
      </c>
      <c r="E54" s="31">
        <f>IF(D54=" "," ",($E$26-$B$3*($F$8))*((D54/($F$8))-($C$18/(PI()))*SIN((PI()*D54)/($F$8)))+$B$3*D54)</f>
        <v>0.907674664215038</v>
      </c>
      <c r="F54" s="31">
        <f t="shared" si="5"/>
        <v>1.07063735447039</v>
      </c>
      <c r="G54" s="31"/>
      <c r="H54" s="31">
        <f t="shared" si="2"/>
        <v>26</v>
      </c>
      <c r="I54" s="31">
        <f>IF(H54=" "," ",($I$26-$D$3*$F$13)*((H54/$F$13)-($C$18/(PI()))*SIN((PI()*H54)/$F$13))+$D$3*H54)</f>
        <v>0.920897019121933</v>
      </c>
      <c r="J54" s="31">
        <f t="shared" si="6"/>
        <v>1.07375485525084</v>
      </c>
      <c r="K54" s="31">
        <f t="shared" si="3"/>
        <v>26</v>
      </c>
      <c r="L54" s="31">
        <f>IF(K54=" "," ",($L$26-$D$3*$F$12)*((K54/$F$12)-($C$18/(PI()))*SIN((PI()*K54)/$F$12))+$D$3*K54)</f>
        <v>0.919083954717098</v>
      </c>
      <c r="M54" s="31">
        <f t="shared" si="7"/>
        <v>1.07068995295543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1.00274674440718</v>
      </c>
      <c r="C55" s="31">
        <f t="shared" si="4"/>
        <v>1.06741224977631</v>
      </c>
      <c r="D55" s="31">
        <f t="shared" si="1"/>
        <v>27</v>
      </c>
      <c r="E55" s="31">
        <f>IF(D55=" "," ",($E$26-$B$3*($F$8))*((D55/($F$8))-($C$18/(PI()))*SIN((PI()*D55)/($F$8)))+$B$3*D55)</f>
        <v>1.00274674440718</v>
      </c>
      <c r="F55" s="31">
        <f t="shared" si="5"/>
        <v>1.06741224977631</v>
      </c>
      <c r="G55" s="31"/>
      <c r="H55" s="31">
        <f t="shared" si="2"/>
        <v>27</v>
      </c>
      <c r="I55" s="31">
        <f>IF(H55=" "," ",($I$26-$D$3*$F$13)*((H55/$F$13)-($C$18/(PI()))*SIN((PI()*H55)/$F$13))+$D$3*H55)</f>
        <v>1.01912270292888</v>
      </c>
      <c r="J55" s="31">
        <f t="shared" si="6"/>
        <v>1.07065837608471</v>
      </c>
      <c r="K55" s="31">
        <f t="shared" si="3"/>
        <v>27</v>
      </c>
      <c r="L55" s="31">
        <f>IF(K55=" "," ",($L$26-$D$3*$F$12)*((K55/$F$12)-($C$18/(PI()))*SIN((PI()*K55)/$F$12))+$D$3*K55)</f>
        <v>1.01545927816023</v>
      </c>
      <c r="M55" s="31">
        <f t="shared" si="7"/>
        <v>1.06745913261545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1.10393949889456</v>
      </c>
      <c r="C56" s="31">
        <f t="shared" si="4"/>
        <v>1.06437930339668</v>
      </c>
      <c r="D56" s="31">
        <f t="shared" si="1"/>
        <v>28</v>
      </c>
      <c r="E56" s="31">
        <f>IF(D56=" "," ",($E$26-$B$3*($F$8))*((D56/($F$8))-($C$18/(PI()))*SIN((PI()*D56)/($F$8)))+$B$3*D56)</f>
        <v>1.10393949889456</v>
      </c>
      <c r="F56" s="31">
        <f t="shared" si="5"/>
        <v>1.06437930339668</v>
      </c>
      <c r="G56" s="31"/>
      <c r="H56" s="31">
        <f t="shared" si="2"/>
        <v>28</v>
      </c>
      <c r="I56" s="31">
        <f>IF(H56=" "," ",($I$26-$D$3*$F$13)*((H56/$F$13)-($C$18/(PI()))*SIN((PI()*H56)/$F$13))+$D$3*H56)</f>
        <v>1.12400362018934</v>
      </c>
      <c r="J56" s="31">
        <f t="shared" si="6"/>
        <v>1.06775451384572</v>
      </c>
      <c r="K56" s="31">
        <f t="shared" si="3"/>
        <v>28</v>
      </c>
      <c r="L56" s="31">
        <f>IF(K56=" "," ",($L$26-$D$3*$F$12)*((K56/$F$12)-($C$18/(PI()))*SIN((PI()*K56)/$F$12))+$D$3*K56)</f>
        <v>1.11804322016018</v>
      </c>
      <c r="M56" s="31">
        <f t="shared" si="7"/>
        <v>1.06442124742121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1.21135768891447</v>
      </c>
      <c r="C57" s="31">
        <f t="shared" si="4"/>
        <v>1.0615205660135</v>
      </c>
      <c r="D57" s="31">
        <f t="shared" si="1"/>
        <v>29</v>
      </c>
      <c r="E57" s="31">
        <f>IF(D57=" "," ",($E$26-$B$3*($F$8))*((D57/($F$8))-($C$18/(PI()))*SIN((PI()*D57)/($F$8)))+$B$3*D57)</f>
        <v>1.21135768891447</v>
      </c>
      <c r="F57" s="31">
        <f t="shared" si="5"/>
        <v>1.0615205660135</v>
      </c>
      <c r="G57" s="31"/>
      <c r="H57" s="31">
        <f t="shared" si="2"/>
        <v>29</v>
      </c>
      <c r="I57" s="31">
        <f>IF(H57=" "," ",($I$26-$D$3*$F$13)*((H57/$F$13)-($C$18/(PI()))*SIN((PI()*H57)/$F$13))+$D$3*H57)</f>
        <v>1.2357044666051</v>
      </c>
      <c r="J57" s="31">
        <f t="shared" si="6"/>
        <v>1.06502545299423</v>
      </c>
      <c r="K57" s="31">
        <f t="shared" si="3"/>
        <v>29</v>
      </c>
      <c r="L57" s="31">
        <f>IF(K57=" "," ",($L$26-$D$3*$F$12)*((K57/$F$12)-($C$18/(PI()))*SIN((PI()*K57)/$F$12))+$D$3*K57)</f>
        <v>1.22694204720502</v>
      </c>
      <c r="M57" s="31">
        <f t="shared" si="7"/>
        <v>1.06155822170375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1.32509422523384</v>
      </c>
      <c r="C58" s="31">
        <f t="shared" si="4"/>
        <v>1.05882007784977</v>
      </c>
      <c r="D58" s="31">
        <f t="shared" si="1"/>
        <v>30</v>
      </c>
      <c r="E58" s="31">
        <f>IF(D58=" "," ",($E$26-$B$3*($F$8))*((D58/($F$8))-($C$18/(PI()))*SIN((PI()*D58)/($F$8)))+$B$3*D58)</f>
        <v>1.32509422523384</v>
      </c>
      <c r="F58" s="31">
        <f t="shared" si="5"/>
        <v>1.05882007784977</v>
      </c>
      <c r="G58" s="31"/>
      <c r="H58" s="31">
        <f t="shared" si="2"/>
        <v>30</v>
      </c>
      <c r="I58" s="31">
        <f>IF(H58=" "," ",($I$26-$D$3*$F$13)*((H58/$F$13)-($C$18/(PI()))*SIN((PI()*H58)/$F$13))+$D$3*H58)</f>
        <v>1.35438162884484</v>
      </c>
      <c r="J58" s="31">
        <f t="shared" si="6"/>
        <v>1.06245535327463</v>
      </c>
      <c r="K58" s="31">
        <f t="shared" si="3"/>
        <v>30</v>
      </c>
      <c r="L58" s="31">
        <f>IF(K58=" "," ",($L$26-$D$3*$F$12)*((K58/$F$12)-($C$18/(PI()))*SIN((PI()*K58)/$F$12))+$D$3*K58)</f>
        <v>1.34225000504019</v>
      </c>
      <c r="M58" s="31">
        <f t="shared" si="7"/>
        <v>1.05885399286895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1.44522999128829</v>
      </c>
      <c r="C59" s="31">
        <f t="shared" si="4"/>
        <v>1.05626362418064</v>
      </c>
      <c r="D59" s="31">
        <f t="shared" si="1"/>
        <v>31</v>
      </c>
      <c r="E59" s="31">
        <f>IF(D59=" "," ",($E$26-$B$3*($F$8))*((D59/($F$8))-($C$18/(PI()))*SIN((PI()*D59)/($F$8)))+$B$3*D59)</f>
        <v>1.44522999128829</v>
      </c>
      <c r="F59" s="31">
        <f t="shared" si="5"/>
        <v>1.05626362418064</v>
      </c>
      <c r="G59" s="31"/>
      <c r="H59" s="31">
        <f t="shared" si="2"/>
        <v>31</v>
      </c>
      <c r="I59" s="31">
        <f>IF(H59=" "," ",($I$26-$D$3*$F$13)*((H59/$F$13)-($C$18/(PI()))*SIN((PI()*H59)/$F$13))+$D$3*H59)</f>
        <v>1.480182994011</v>
      </c>
      <c r="J59" s="31">
        <f t="shared" si="6"/>
        <v>1.06003010850589</v>
      </c>
      <c r="K59" s="31">
        <f t="shared" si="3"/>
        <v>31</v>
      </c>
      <c r="L59" s="31">
        <f>IF(K59=" "," ",($L$26-$D$3*$F$12)*((K59/$F$12)-($C$18/(PI()))*SIN((PI()*K59)/$F$12))+$D$3*K59)</f>
        <v>1.46404913926641</v>
      </c>
      <c r="M59" s="31">
        <f t="shared" si="7"/>
        <v>1.05629426201733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1.57183368921593</v>
      </c>
      <c r="C60" s="31">
        <f t="shared" si="4"/>
        <v>1.05383852024773</v>
      </c>
      <c r="D60" s="31">
        <f t="shared" si="1"/>
        <v>32</v>
      </c>
      <c r="E60" s="31">
        <f>IF(D60=" "," ",($E$26-$B$3*($F$8))*((D60/($F$8))-($C$18/(PI()))*SIN((PI()*D60)/($F$8)))+$B$3*D60)</f>
        <v>1.57183368921593</v>
      </c>
      <c r="F60" s="31">
        <f t="shared" si="5"/>
        <v>1.05383852024773</v>
      </c>
      <c r="G60" s="31"/>
      <c r="H60" s="31">
        <f t="shared" si="2"/>
        <v>32</v>
      </c>
      <c r="I60" s="31">
        <f>IF(H60=" "," ",($I$26-$D$3*$F$13)*((H60/$F$13)-($C$18/(PI()))*SIN((PI()*H60)/$F$13))+$D$3*H60)</f>
        <v>1.61324776946216</v>
      </c>
      <c r="J60" s="31">
        <f t="shared" si="6"/>
        <v>1.05773713405582</v>
      </c>
      <c r="K60" s="31">
        <f t="shared" si="3"/>
        <v>32</v>
      </c>
      <c r="L60" s="31">
        <f>IF(K60=" "," ",($L$26-$D$3*$F$12)*((K60/$F$12)-($C$18/(PI()))*SIN((PI()*K60)/$F$12))+$D$3*K60)</f>
        <v>1.59240913916122</v>
      </c>
      <c r="M60" s="31">
        <f t="shared" si="7"/>
        <v>1.05386627507876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1.70496170907896</v>
      </c>
      <c r="C61" s="31">
        <f t="shared" si="4"/>
        <v>1.05153342313204</v>
      </c>
      <c r="D61" s="31">
        <f t="shared" si="1"/>
        <v>33</v>
      </c>
      <c r="E61" s="31">
        <f>IF(D61=" "," ",($E$26-$B$3*($F$8))*((D61/($F$8))-($C$18/(PI()))*SIN((PI()*D61)/($F$8)))+$B$3*D61)</f>
        <v>1.70496170907896</v>
      </c>
      <c r="F61" s="31">
        <f t="shared" si="5"/>
        <v>1.05153342313204</v>
      </c>
      <c r="G61" s="31"/>
      <c r="H61" s="31">
        <f t="shared" si="2"/>
        <v>33</v>
      </c>
      <c r="I61" s="31">
        <f>IF(H61=" "," ",($I$26-$D$3*$F$13)*((H61/$F$13)-($C$18/(PI()))*SIN((PI()*H61)/$F$13))+$D$3*H61)</f>
        <v>1.75370631321032</v>
      </c>
      <c r="J61" s="31">
        <f t="shared" si="6"/>
        <v>1.05556518073191</v>
      </c>
      <c r="K61" s="31">
        <f t="shared" si="3"/>
        <v>33</v>
      </c>
      <c r="L61" s="31">
        <f>IF(K61=" "," ",($L$26-$D$3*$F$12)*((K61/$F$12)-($C$18/(PI()))*SIN((PI()*K61)/$F$12))+$D$3*K61)</f>
        <v>1.72738720502145</v>
      </c>
      <c r="M61" s="31">
        <f t="shared" si="7"/>
        <v>1.05155863174542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1.84465802152194</v>
      </c>
      <c r="C62" s="31">
        <f t="shared" si="4"/>
        <v>1.04933816777796</v>
      </c>
      <c r="D62" s="31">
        <f t="shared" si="1"/>
        <v>34</v>
      </c>
      <c r="E62" s="31">
        <f>IF(D62=" "," ",($E$26-$B$3*($F$8))*((D62/($F$8))-($C$18/(PI()))*SIN((PI()*D62)/($F$8)))+$B$3*D62)</f>
        <v>1.84465802152194</v>
      </c>
      <c r="F62" s="31">
        <f t="shared" si="5"/>
        <v>1.04933816777796</v>
      </c>
      <c r="G62" s="31"/>
      <c r="H62" s="31">
        <f t="shared" si="2"/>
        <v>34</v>
      </c>
      <c r="I62" s="31">
        <f>IF(H62=" "," ",($I$26-$D$3*$F$13)*((H62/$F$13)-($C$18/(PI()))*SIN((PI()*H62)/$F$13))+$D$3*H62)</f>
        <v>1.90167997509972</v>
      </c>
      <c r="J62" s="31">
        <f t="shared" si="6"/>
        <v>1.0535041724106</v>
      </c>
      <c r="K62" s="31">
        <f t="shared" si="3"/>
        <v>34</v>
      </c>
      <c r="L62" s="31">
        <f>IF(K62=" "," ",($L$26-$D$3*$F$12)*((K62/$F$12)-($C$18/(PI()))*SIN((PI()*K62)/$F$12))+$D$3*K62)</f>
        <v>1.86902793927922</v>
      </c>
      <c r="M62" s="31">
        <f t="shared" si="7"/>
        <v>1.04936111919428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1.99095409407119</v>
      </c>
      <c r="C63" s="31">
        <f t="shared" si="4"/>
        <v>1.04724362433663</v>
      </c>
      <c r="D63" s="31">
        <f t="shared" si="1"/>
        <v>35</v>
      </c>
      <c r="E63" s="31">
        <f>IF(D63=" "," ",($E$26-$B$3*($F$8))*((D63/($F$8))-($C$18/(PI()))*SIN((PI()*D63)/($F$8)))+$B$3*D63)</f>
        <v>1.99095409407119</v>
      </c>
      <c r="F63" s="31">
        <f t="shared" si="5"/>
        <v>1.04724362433663</v>
      </c>
      <c r="G63" s="31"/>
      <c r="H63" s="31">
        <f t="shared" si="2"/>
        <v>35</v>
      </c>
      <c r="I63" s="31">
        <f>IF(H63=" "," ",($I$26-$D$3*$F$13)*((H63/$F$13)-($C$18/(PI()))*SIN((PI()*H63)/$F$13))+$D$3*H63)</f>
        <v>2.05728094896076</v>
      </c>
      <c r="J63" s="31">
        <f t="shared" si="6"/>
        <v>1.05154506467069</v>
      </c>
      <c r="K63" s="31">
        <f t="shared" si="3"/>
        <v>35</v>
      </c>
      <c r="L63" s="31">
        <f>IF(K63=" "," ",($L$26-$D$3*$F$12)*((K63/$F$12)-($C$18/(PI()))*SIN((PI()*K63)/$F$12))+$D$3*K63)</f>
        <v>2.01736326159867</v>
      </c>
      <c r="M63" s="31">
        <f t="shared" si="7"/>
        <v>1.04726456761727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2.14386883123456</v>
      </c>
      <c r="C64" s="31">
        <f t="shared" si="4"/>
        <v>1.04524157415021</v>
      </c>
      <c r="D64" s="31">
        <f t="shared" si="1"/>
        <v>36</v>
      </c>
      <c r="E64" s="31">
        <f>IF(D64=" "," ",($E$26-$B$3*($F$8))*((D64/($F$8))-($C$18/(PI()))*SIN((PI()*D64)/($F$8)))+$B$3*D64)</f>
        <v>2.14386883123456</v>
      </c>
      <c r="F64" s="31">
        <f t="shared" si="5"/>
        <v>1.04524157415021</v>
      </c>
      <c r="G64" s="31"/>
      <c r="H64" s="31">
        <f t="shared" si="2"/>
        <v>36</v>
      </c>
      <c r="I64" s="31">
        <f>IF(H64=" "," ",($I$26-$D$3*$F$13)*((H64/$F$13)-($C$18/(PI()))*SIN((PI()*H64)/$F$13))+$D$3*H64)</f>
        <v>2.22061213591912</v>
      </c>
      <c r="J64" s="31">
        <f t="shared" si="6"/>
        <v>1.04967972182625</v>
      </c>
      <c r="K64" s="31">
        <f t="shared" si="3"/>
        <v>36</v>
      </c>
      <c r="L64" s="31">
        <f>IF(K64=" "," ",($L$26-$D$3*$F$12)*((K64/$F$12)-($C$18/(PI()))*SIN((PI()*K64)/$F$12))+$D$3*K64)</f>
        <v>2.17241234811509</v>
      </c>
      <c r="M64" s="31">
        <f t="shared" si="7"/>
        <v>1.04526072476859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2.30340853851564</v>
      </c>
      <c r="C65" s="31">
        <f t="shared" si="4"/>
        <v>1.04332460193567</v>
      </c>
      <c r="D65" s="31">
        <f t="shared" si="1"/>
        <v>37</v>
      </c>
      <c r="E65" s="31">
        <f>IF(D65=" "," ",($E$26-$B$3*($F$8))*((D65/($F$8))-($C$18/(PI()))*SIN((PI()*D65)/($F$8)))+$B$3*D65)</f>
        <v>2.30340853851564</v>
      </c>
      <c r="F65" s="31">
        <f t="shared" si="5"/>
        <v>1.04332460193567</v>
      </c>
      <c r="G65" s="31"/>
      <c r="H65" s="31">
        <f t="shared" si="2"/>
        <v>37</v>
      </c>
      <c r="I65" s="31">
        <f>IF(H65=" "," ",($I$26-$D$3*$F$13)*((H65/$F$13)-($C$18/(PI()))*SIN((PI()*H65)/$F$13))+$D$3*H65)</f>
        <v>2.39176701902654</v>
      </c>
      <c r="J65" s="31">
        <f t="shared" si="6"/>
        <v>1.04790080997244</v>
      </c>
      <c r="K65" s="31">
        <f t="shared" si="3"/>
        <v>37</v>
      </c>
      <c r="L65" s="31">
        <f>IF(K65=" "," ",($L$26-$D$3*$F$12)*((K65/$F$12)-($C$18/(PI()))*SIN((PI()*K65)/$F$12))+$D$3*K65)</f>
        <v>2.33418159493201</v>
      </c>
      <c r="M65" s="31">
        <f t="shared" si="7"/>
        <v>1.04334214700317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2.46956691041083</v>
      </c>
      <c r="C66" s="31">
        <f t="shared" si="4"/>
        <v>1.04148600199236</v>
      </c>
      <c r="D66" s="31">
        <f t="shared" si="1"/>
        <v>38</v>
      </c>
      <c r="E66" s="31">
        <f>IF(D66=" "," ",($E$26-$B$3*($F$8))*((D66/($F$8))-($C$18/(PI()))*SIN((PI()*D66)/($F$8)))+$B$3*D66)</f>
        <v>2.46956691041083</v>
      </c>
      <c r="F66" s="31">
        <f t="shared" si="5"/>
        <v>1.04148600199236</v>
      </c>
      <c r="G66" s="31"/>
      <c r="H66" s="31">
        <f t="shared" si="2"/>
        <v>38</v>
      </c>
      <c r="I66" s="31">
        <f>IF(H66=" "," ",($I$26-$D$3*$F$13)*((H66/$F$13)-($C$18/(PI()))*SIN((PI()*H66)/$F$13))+$D$3*H66)</f>
        <v>2.57082954936618</v>
      </c>
      <c r="J66" s="31">
        <f t="shared" si="6"/>
        <v>1.04620170391078</v>
      </c>
      <c r="K66" s="31">
        <f t="shared" si="3"/>
        <v>38</v>
      </c>
      <c r="L66" s="31">
        <f>IF(K66=" "," ",($L$26-$D$3*$F$12)*((K66/$F$12)-($C$18/(PI()))*SIN((PI()*K66)/$F$12))+$D$3*K66)</f>
        <v>2.50266460594589</v>
      </c>
      <c r="M66" s="31">
        <f t="shared" si="7"/>
        <v>1.04150210456602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2.64232504241229</v>
      </c>
      <c r="C67" s="31">
        <f t="shared" si="4"/>
        <v>1.03971969652201</v>
      </c>
      <c r="D67" s="31">
        <f t="shared" si="1"/>
        <v>39</v>
      </c>
      <c r="E67" s="31">
        <f>IF(D67=" "," ",($E$26-$B$3*($F$8))*((D67/($F$8))-($C$18/(PI()))*SIN((PI()*D67)/($F$8)))+$B$3*D67)</f>
        <v>2.64232504241229</v>
      </c>
      <c r="F67" s="31">
        <f t="shared" si="5"/>
        <v>1.03971969652201</v>
      </c>
      <c r="G67" s="31"/>
      <c r="H67" s="31">
        <f t="shared" si="2"/>
        <v>39</v>
      </c>
      <c r="I67" s="31">
        <f>IF(H67=" "," ",($I$26-$D$3*$F$13)*((H67/$F$13)-($C$18/(PI()))*SIN((PI()*H67)/$F$13))+$D$3*H67)</f>
        <v>2.7578740437711</v>
      </c>
      <c r="J67" s="31">
        <f t="shared" si="6"/>
        <v>1.04457640607526</v>
      </c>
      <c r="K67" s="31">
        <f t="shared" si="3"/>
        <v>39</v>
      </c>
      <c r="L67" s="31">
        <f>IF(K67=" "," ",($L$26-$D$3*$F$12)*((K67/$F$12)-($C$18/(PI()))*SIN((PI()*K67)/$F$12))+$D$3*K67)</f>
        <v>2.67784220502145</v>
      </c>
      <c r="M67" s="31">
        <f t="shared" si="7"/>
        <v>1.03973449917234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2.82165146699371</v>
      </c>
      <c r="C68" s="31">
        <f t="shared" si="4"/>
        <v>1.03802016439894</v>
      </c>
      <c r="D68" s="31">
        <f t="shared" si="1"/>
        <v>40</v>
      </c>
      <c r="E68" s="31">
        <f>IF(D68=" "," ",($E$26-$B$3*($F$8))*((D68/($F$8))-($C$18/(PI()))*SIN((PI()*D68)/($F$8)))+$B$3*D68)</f>
        <v>2.82165146699371</v>
      </c>
      <c r="F68" s="31">
        <f t="shared" si="5"/>
        <v>1.03802016439894</v>
      </c>
      <c r="G68" s="31"/>
      <c r="H68" s="31">
        <f t="shared" si="2"/>
        <v>40</v>
      </c>
      <c r="I68" s="31">
        <f>IF(H68=" "," ",($I$26-$D$3*$F$13)*((H68/$F$13)-($C$18/(PI()))*SIN((PI()*H68)/$F$13))+$D$3*H68)</f>
        <v>2.95296509428068</v>
      </c>
      <c r="J68" s="31">
        <f t="shared" si="6"/>
        <v>1.04301947582187</v>
      </c>
      <c r="K68" s="31">
        <f t="shared" si="3"/>
        <v>40</v>
      </c>
      <c r="L68" s="31">
        <f>IF(K68=" "," ",($L$26-$D$3*$F$12)*((K68/$F$12)-($C$18/(PI()))*SIN((PI()*K68)/$F$12))+$D$3*K68)</f>
        <v>2.85968247249455</v>
      </c>
      <c r="M68" s="31">
        <f t="shared" si="7"/>
        <v>1.03803379217834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3.00750221351051</v>
      </c>
      <c r="C69" s="31">
        <f t="shared" si="4"/>
        <v>1.03638237895287</v>
      </c>
      <c r="D69" s="31">
        <f t="shared" si="1"/>
        <v>41</v>
      </c>
      <c r="E69" s="31">
        <f>IF(D69=" "," ",($E$26-$B$3*($F$8))*((D69/($F$8))-($C$18/(PI()))*SIN((PI()*D69)/($F$8)))+$B$3*D69)</f>
        <v>3.00750221351051</v>
      </c>
      <c r="F69" s="31">
        <f t="shared" si="5"/>
        <v>1.03638237895287</v>
      </c>
      <c r="G69" s="31"/>
      <c r="H69" s="31">
        <f t="shared" si="2"/>
        <v>41</v>
      </c>
      <c r="I69" s="31">
        <f>IF(H69=" "," ",($I$26-$D$3*$F$13)*((H69/$F$13)-($C$18/(PI()))*SIN((PI()*H69)/$F$13))+$D$3*H69)</f>
        <v>3.15615748944519</v>
      </c>
      <c r="J69" s="31">
        <f t="shared" si="6"/>
        <v>1.04152596766361</v>
      </c>
      <c r="K69" s="31">
        <f t="shared" si="3"/>
        <v>41</v>
      </c>
      <c r="L69" s="31">
        <f>IF(K69=" "," ",($L$26-$D$3*$F$12)*((K69/$F$12)-($C$18/(PI()))*SIN((PI()*K69)/$F$12))+$D$3*K69)</f>
        <v>3.04814080593308</v>
      </c>
      <c r="M69" s="31">
        <f t="shared" si="7"/>
        <v>1.03639494187609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3.19982089190051</v>
      </c>
      <c r="C70" s="31">
        <f t="shared" si="4"/>
        <v>1.03480175352762</v>
      </c>
      <c r="D70" s="31">
        <f t="shared" si="1"/>
        <v>42</v>
      </c>
      <c r="E70" s="31">
        <f>IF(D70=" "," ",($E$26-$B$3*($F$8))*((D70/($F$8))-($C$18/(PI()))*SIN((PI()*D70)/($F$8)))+$B$3*D70)</f>
        <v>3.19982089190051</v>
      </c>
      <c r="F70" s="31">
        <f t="shared" si="5"/>
        <v>1.03480175352762</v>
      </c>
      <c r="G70" s="31"/>
      <c r="H70" s="31">
        <f t="shared" si="2"/>
        <v>42</v>
      </c>
      <c r="I70" s="31">
        <f>IF(H70=" "," ",($I$26-$D$3*$F$13)*((H70/$F$13)-($C$18/(PI()))*SIN((PI()*H70)/$F$13))+$D$3*H70)</f>
        <v>3.36749614757431</v>
      </c>
      <c r="J70" s="31">
        <f t="shared" si="6"/>
        <v>1.04009137722908</v>
      </c>
      <c r="K70" s="31">
        <f t="shared" si="3"/>
        <v>42</v>
      </c>
      <c r="L70" s="31">
        <f>IF(K70=" "," ",($L$26-$D$3*$F$12)*((K70/$F$12)-($C$18/(PI()))*SIN((PI()*K70)/$F$12))+$D$3*K70)</f>
        <v>3.24316000504019</v>
      </c>
      <c r="M70" s="31">
        <f t="shared" si="7"/>
        <v>1.03481334865315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3.39853880002559</v>
      </c>
      <c r="C71" s="31">
        <f t="shared" si="4"/>
        <v>1.03327409375236</v>
      </c>
      <c r="D71" s="31">
        <f t="shared" si="1"/>
        <v>43</v>
      </c>
      <c r="E71" s="31">
        <f>IF(D71=" "," ",($E$26-$B$3*($F$8))*((D71/($F$8))-($C$18/(PI()))*SIN((PI()*D71)/($F$8)))+$B$3*D71)</f>
        <v>3.39853880002559</v>
      </c>
      <c r="F71" s="31">
        <f t="shared" si="5"/>
        <v>1.03327409375236</v>
      </c>
      <c r="G71" s="31"/>
      <c r="H71" s="31">
        <f t="shared" si="2"/>
        <v>43</v>
      </c>
      <c r="I71" s="31">
        <f>IF(H71=" "," ",($I$26-$D$3*$F$13)*((H71/$F$13)-($C$18/(PI()))*SIN((PI()*H71)/$F$13))+$D$3*H71)</f>
        <v>3.58701606201118</v>
      </c>
      <c r="J71" s="31">
        <f t="shared" si="6"/>
        <v>1.03871159389467</v>
      </c>
      <c r="K71" s="31">
        <f t="shared" si="3"/>
        <v>43</v>
      </c>
      <c r="L71" s="31">
        <f>IF(K71=" "," ",($L$26-$D$3*$F$12)*((K71/$F$12)-($C$18/(PI()))*SIN((PI()*K71)/$F$12))+$D$3*K71)</f>
        <v>3.44467038053835</v>
      </c>
      <c r="M71" s="31">
        <f t="shared" si="7"/>
        <v>1.0332848069358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3.60357505445012</v>
      </c>
      <c r="C72" s="31">
        <f t="shared" si="4"/>
        <v>1.03179555561482</v>
      </c>
      <c r="D72" s="31">
        <f t="shared" si="1"/>
        <v>44</v>
      </c>
      <c r="E72" s="31">
        <f>IF(D72=" "," ",($E$26-$B$3*($F$8))*((D72/($F$8))-($C$18/(PI()))*SIN((PI()*D72)/($F$8)))+$B$3*D72)</f>
        <v>3.60357505445012</v>
      </c>
      <c r="F72" s="31">
        <f t="shared" si="5"/>
        <v>1.03179555561482</v>
      </c>
      <c r="G72" s="31"/>
      <c r="H72" s="31">
        <f t="shared" si="2"/>
        <v>44</v>
      </c>
      <c r="I72" s="31">
        <f>IF(H72=" "," ",($I$26-$D$3*$F$13)*((H72/$F$13)-($C$18/(PI()))*SIN((PI()*H72)/$F$13))+$D$3*H72)</f>
        <v>3.81474225849831</v>
      </c>
      <c r="J72" s="31">
        <f t="shared" si="6"/>
        <v>1.0373828591876</v>
      </c>
      <c r="K72" s="31">
        <f t="shared" si="3"/>
        <v>44</v>
      </c>
      <c r="L72" s="31">
        <f>IF(K72=" "," ",($L$26-$D$3*$F$12)*((K72/$F$12)-($C$18/(PI()))*SIN((PI()*K72)/$F$12))+$D$3*K72)</f>
        <v>3.65258988682685</v>
      </c>
      <c r="M72" s="31">
        <f t="shared" si="7"/>
        <v>1.03180546299162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3.81483674440718</v>
      </c>
      <c r="C73" s="31">
        <f t="shared" si="4"/>
        <v>1.03036260855429</v>
      </c>
      <c r="D73" s="31">
        <f t="shared" si="1"/>
        <v>45</v>
      </c>
      <c r="E73" s="31">
        <f>IF(D73=" "," ",($E$26-$B$3*($F$8))*((D73/($F$8))-($C$18/(PI()))*SIN((PI()*D73)/($F$8)))+$B$3*D73)</f>
        <v>3.81483674440718</v>
      </c>
      <c r="F73" s="31">
        <f t="shared" si="5"/>
        <v>1.03036260855429</v>
      </c>
      <c r="G73" s="31"/>
      <c r="H73" s="31">
        <f t="shared" si="2"/>
        <v>45</v>
      </c>
      <c r="I73" s="31">
        <f>IF(H73=" "," ",($I$26-$D$3*$F$13)*((H73/$F$13)-($C$18/(PI()))*SIN((PI()*H73)/$F$13))+$D$3*H73)</f>
        <v>4.05068976468764</v>
      </c>
      <c r="J73" s="31">
        <f t="shared" si="6"/>
        <v>1.03610173018751</v>
      </c>
      <c r="K73" s="31">
        <f t="shared" si="3"/>
        <v>45</v>
      </c>
      <c r="L73" s="31">
        <f>IF(K73=" "," ",($L$26-$D$3*$F$12)*((K73/$F$12)-($C$18/(PI()))*SIN((PI()*K73)/$F$12))+$D$3*K73)</f>
        <v>3.86682427816023</v>
      </c>
      <c r="M73" s="31">
        <f t="shared" si="7"/>
        <v>1.03037177779807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4.03221910865948</v>
      </c>
      <c r="C74" s="31">
        <f t="shared" si="4"/>
        <v>1.02897200290543</v>
      </c>
      <c r="D74" s="31">
        <f t="shared" si="1"/>
        <v>46</v>
      </c>
      <c r="E74" s="31">
        <f>IF(D74=" "," ",($E$26-$B$3*($F$8))*((D74/($F$8))-($C$18/(PI()))*SIN((PI()*D74)/($F$8)))+$B$3*D74)</f>
        <v>4.03221910865948</v>
      </c>
      <c r="F74" s="31">
        <f t="shared" si="5"/>
        <v>1.02897200290543</v>
      </c>
      <c r="G74" s="31"/>
      <c r="H74" s="31">
        <f t="shared" si="2"/>
        <v>46</v>
      </c>
      <c r="I74" s="31">
        <f>IF(H74=" "," ",($I$26-$D$3*$F$13)*((H74/$F$13)-($C$18/(PI()))*SIN((PI()*H74)/$F$13))+$D$3*H74)</f>
        <v>4.29486359183164</v>
      </c>
      <c r="J74" s="31">
        <f t="shared" si="6"/>
        <v>1.03486504726207</v>
      </c>
      <c r="K74" s="31">
        <f t="shared" si="3"/>
        <v>46</v>
      </c>
      <c r="L74" s="31">
        <f>IF(K74=" "," ",($L$26-$D$3*$F$12)*((K74/$F$12)-($C$18/(PI()))*SIN((PI()*K74)/$F$12))+$D$3*K74)</f>
        <v>4.08726728805043</v>
      </c>
      <c r="M74" s="31">
        <f t="shared" si="7"/>
        <v>1.02898049429966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4.25560573491834</v>
      </c>
      <c r="C75" s="31">
        <f t="shared" si="4"/>
        <v>1.02762074111767</v>
      </c>
      <c r="D75" s="31">
        <f t="shared" si="1"/>
        <v>47</v>
      </c>
      <c r="E75" s="31">
        <f>IF(D75=" "," ",($E$26-$B$3*($F$8))*((D75/($F$8))-($C$18/(PI()))*SIN((PI()*D75)/($F$8)))+$B$3*D75)</f>
        <v>4.25560573491834</v>
      </c>
      <c r="F75" s="31">
        <f t="shared" si="5"/>
        <v>1.02762074111767</v>
      </c>
      <c r="G75" s="31"/>
      <c r="H75" s="31">
        <f t="shared" si="2"/>
        <v>47</v>
      </c>
      <c r="I75" s="31">
        <f>IF(H75=" "," ",($I$26-$D$3*$F$13)*((H75/$F$13)-($C$18/(PI()))*SIN((PI()*H75)/$F$13))+$D$3*H75)</f>
        <v>4.54725872867784</v>
      </c>
      <c r="J75" s="31">
        <f t="shared" si="6"/>
        <v>1.03366990556838</v>
      </c>
      <c r="K75" s="31">
        <f t="shared" si="3"/>
        <v>47</v>
      </c>
      <c r="L75" s="31">
        <f>IF(K75=" "," ",($L$26-$D$3*$F$12)*((K75/$F$12)-($C$18/(PI()))*SIN((PI()*K75)/$F$12))+$D$3*K75)</f>
        <v>4.31380083155112</v>
      </c>
      <c r="M75" s="31">
        <f t="shared" si="7"/>
        <v>1.02762860847125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4.48486878144109</v>
      </c>
      <c r="C76" s="31">
        <f t="shared" si="4"/>
        <v>1.026306052257</v>
      </c>
      <c r="D76" s="31">
        <f t="shared" si="1"/>
        <v>48</v>
      </c>
      <c r="E76" s="31">
        <f>IF(D76=" "," ",($E$26-$B$3*($F$8))*((D76/($F$8))-($C$18/(PI()))*SIN((PI()*D76)/($F$8)))+$B$3*D76)</f>
        <v>4.48486878144109</v>
      </c>
      <c r="F76" s="31">
        <f t="shared" si="5"/>
        <v>1.026306052257</v>
      </c>
      <c r="G76" s="31"/>
      <c r="H76" s="31">
        <f t="shared" si="2"/>
        <v>48</v>
      </c>
      <c r="I76" s="31">
        <f>IF(H76=" "," ",($I$26-$D$3*$F$13)*((H76/$F$13)-($C$18/(PI()))*SIN((PI()*H76)/$F$13))+$D$3*H76)</f>
        <v>4.80786014757431</v>
      </c>
      <c r="J76" s="31">
        <f t="shared" si="6"/>
        <v>1.03251362982982</v>
      </c>
      <c r="K76" s="31">
        <f t="shared" si="3"/>
        <v>48</v>
      </c>
      <c r="L76" s="31">
        <f>IF(K76=" "," ",($L$26-$D$3*$F$12)*((K76/$F$12)-($C$18/(PI()))*SIN((PI()*K76)/$F$12))+$D$3*K76)</f>
        <v>4.54629523003904</v>
      </c>
      <c r="M76" s="31">
        <f t="shared" si="7"/>
        <v>1.02631334368907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4.71986922038507</v>
      </c>
      <c r="C77" s="31">
        <f t="shared" si="4"/>
        <v>1.02502536936616</v>
      </c>
      <c r="D77" s="31">
        <f t="shared" si="1"/>
        <v>49</v>
      </c>
      <c r="E77" s="31">
        <f>IF(D77=" "," ",($E$26-$B$3*($F$8))*((D77/($F$8))-($C$18/(PI()))*SIN((PI()*D77)/($F$8)))+$B$3*D77)</f>
        <v>4.71986922038507</v>
      </c>
      <c r="F77" s="31">
        <f t="shared" si="5"/>
        <v>1.02502536936616</v>
      </c>
      <c r="G77" s="31"/>
      <c r="H77" s="31">
        <f t="shared" si="2"/>
        <v>49</v>
      </c>
      <c r="I77" s="31">
        <f>IF(H77=" "," ",($I$26-$D$3*$F$13)*((H77/$F$13)-($C$18/(PI()))*SIN((PI()*H77)/$F$13))+$D$3*H77)</f>
        <v>5.07664282277852</v>
      </c>
      <c r="J77" s="31">
        <f t="shared" si="6"/>
        <v>1.03139375196951</v>
      </c>
      <c r="K77" s="31">
        <f t="shared" si="3"/>
        <v>49</v>
      </c>
      <c r="L77" s="31">
        <f>IF(K77=" "," ",($L$26-$D$3*$F$12)*((K77/$F$12)-($C$18/(PI()))*SIN((PI()*K77)/$F$12))+$D$3*K77)</f>
        <v>4.7846094580647</v>
      </c>
      <c r="M77" s="31">
        <f t="shared" si="7"/>
        <v>1.02503212798067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4.96045710245509</v>
      </c>
      <c r="C78" s="31">
        <f t="shared" si="4"/>
        <v>1.02377630931731</v>
      </c>
      <c r="D78" s="31">
        <f t="shared" si="1"/>
        <v>50</v>
      </c>
      <c r="E78" s="31">
        <f>IF(D78=" "," ",($E$26-$B$3*($F$8))*((D78/($F$8))-($C$18/(PI()))*SIN((PI()*D78)/($F$8)))+$B$3*D78)</f>
        <v>4.96045710245509</v>
      </c>
      <c r="F78" s="31">
        <f t="shared" si="5"/>
        <v>1.02377630931731</v>
      </c>
      <c r="G78" s="31"/>
      <c r="H78" s="31">
        <f t="shared" si="2"/>
        <v>50</v>
      </c>
      <c r="I78" s="31">
        <f>IF(H78=" "," ",($I$26-$D$3*$F$13)*((H78/$F$13)-($C$18/(PI()))*SIN((PI()*H78)/$F$13))+$D$3*H78)</f>
        <v>5.35357176094735</v>
      </c>
      <c r="J78" s="31">
        <f t="shared" si="6"/>
        <v>1.03030799123655</v>
      </c>
      <c r="K78" s="31">
        <f t="shared" si="3"/>
        <v>50</v>
      </c>
      <c r="L78" s="31">
        <f>IF(K78=" "," ",($L$26-$D$3*$F$12)*((K78/$F$12)-($C$18/(PI()))*SIN((PI()*K78)/$F$12))+$D$3*K78)</f>
        <v>5.0285914118023</v>
      </c>
      <c r="M78" s="31">
        <f t="shared" si="7"/>
        <v>1.02378257378457</v>
      </c>
    </row>
    <row r="79" spans="1:13">
      <c r="A79" s="31">
        <f t="shared" si="0"/>
        <v>51</v>
      </c>
      <c r="B79" s="31">
        <f>IF(A79=" "," ",($B$26-$B$3*($F$9))*((A79/($F$9))-($C$18/(PI()))*SIN((PI()*A79)/($F$9)))+$B$3*A79)</f>
        <v>5.20647184234038</v>
      </c>
      <c r="C79" s="31">
        <f t="shared" si="4"/>
        <v>1.02255665484303</v>
      </c>
      <c r="D79" s="31">
        <f t="shared" si="1"/>
        <v>51</v>
      </c>
      <c r="E79" s="31">
        <f>IF(D79=" "," ",($E$26-$B$3*($F$8))*((D79/($F$8))-($C$18/(PI()))*SIN((PI()*D79)/($F$8)))+$B$3*D79)</f>
        <v>5.20647184234038</v>
      </c>
      <c r="F79" s="31">
        <f t="shared" si="5"/>
        <v>1.02255665484303</v>
      </c>
      <c r="G79" s="31"/>
      <c r="H79" s="31">
        <f t="shared" si="2"/>
        <v>51</v>
      </c>
      <c r="I79" s="31">
        <f>IF(H79=" "," ",($I$26-$D$3*$F$13)*((H79/$F$13)-($C$18/(PI()))*SIN((PI()*H79)/$F$13))+$D$3*H79)</f>
        <v>5.6386020437711</v>
      </c>
      <c r="J79" s="31">
        <f t="shared" si="6"/>
        <v>1.02925423651455</v>
      </c>
      <c r="K79" s="31">
        <f t="shared" si="3"/>
        <v>51</v>
      </c>
      <c r="L79" s="31">
        <f>IF(K79=" "," ",($L$26-$D$3*$F$12)*((K79/$F$12)-($C$18/(PI()))*SIN((PI()*K79)/$F$12))+$D$3*K79)</f>
        <v>5.278078198588</v>
      </c>
      <c r="M79" s="31">
        <f t="shared" si="7"/>
        <v>1.02256245990237</v>
      </c>
    </row>
    <row r="80" spans="1:13">
      <c r="A80" s="31">
        <f t="shared" si="0"/>
        <v>52</v>
      </c>
      <c r="B80" s="31">
        <f>IF(A80=" "," ",($B$26-$B$3*($F$9))*((A80/($F$9))-($C$18/(PI()))*SIN((PI()*A80)/($F$9)))+$B$3*A80)</f>
        <v>5.45774252439788</v>
      </c>
      <c r="C80" s="31">
        <f t="shared" si="4"/>
        <v>1.0213643384728</v>
      </c>
      <c r="D80" s="31">
        <f t="shared" si="1"/>
        <v>52</v>
      </c>
      <c r="E80" s="31">
        <f>IF(D80=" "," ",($E$26-$B$3*($F$8))*((D80/($F$8))-($C$18/(PI()))*SIN((PI()*D80)/($F$8)))+$B$3*D80)</f>
        <v>5.45774252439788</v>
      </c>
      <c r="F80" s="31">
        <f t="shared" si="5"/>
        <v>1.0213643384728</v>
      </c>
      <c r="G80" s="31"/>
      <c r="H80" s="31">
        <f t="shared" si="2"/>
        <v>52</v>
      </c>
      <c r="I80" s="31">
        <f>IF(H80=" "," ",($I$26-$D$3*$F$13)*((H80/$F$13)-($C$18/(PI()))*SIN((PI()*H80)/$F$13))+$D$3*H80)</f>
        <v>5.93167888269951</v>
      </c>
      <c r="J80" s="31">
        <f t="shared" si="6"/>
        <v>1.02823053054206</v>
      </c>
      <c r="K80" s="31">
        <f t="shared" si="3"/>
        <v>52</v>
      </c>
      <c r="L80" s="31">
        <f>IF(K80=" "," ",($L$26-$D$3*$F$12)*((K80/$F$12)-($C$18/(PI()))*SIN((PI()*K80)/$F$12))+$D$3*K80)</f>
        <v>5.53289644699539</v>
      </c>
      <c r="M80" s="31">
        <f t="shared" si="7"/>
        <v>1.02136971536803</v>
      </c>
    </row>
    <row r="81" spans="1:13">
      <c r="A81" s="31">
        <f t="shared" si="0"/>
        <v>53</v>
      </c>
      <c r="B81" s="31">
        <f>IF(A81=" "," ",($B$26-$B$3*($F$9))*((A81/($F$9))-($C$18/(PI()))*SIN((PI()*A81)/($F$9)))+$B$3*A81)</f>
        <v>5.71408822799987</v>
      </c>
      <c r="C81" s="31">
        <f t="shared" si="4"/>
        <v>1.0201974281398</v>
      </c>
      <c r="D81" s="31">
        <f t="shared" si="1"/>
        <v>53</v>
      </c>
      <c r="E81" s="31">
        <f>IF(D81=" "," ",($E$26-$B$3*($F$8))*((D81/($F$8))-($C$18/(PI()))*SIN((PI()*D81)/($F$8)))+$B$3*D81)</f>
        <v>5.71408822799987</v>
      </c>
      <c r="F81" s="31">
        <f t="shared" si="5"/>
        <v>1.0201974281398</v>
      </c>
      <c r="G81" s="31"/>
      <c r="H81" s="31">
        <f t="shared" si="2"/>
        <v>53</v>
      </c>
      <c r="I81" s="31">
        <f>IF(H81=" "," ",($I$26-$D$3*$F$13)*((H81/$F$13)-($C$18/(PI()))*SIN((PI()*H81)/$F$13))+$D$3*H81)</f>
        <v>6.23273768569321</v>
      </c>
      <c r="J81" s="31">
        <f t="shared" si="6"/>
        <v>1.02723505581153</v>
      </c>
      <c r="K81" s="31">
        <f t="shared" si="3"/>
        <v>53</v>
      </c>
      <c r="L81" s="31">
        <f>IF(K81=" "," ",($L$26-$D$3*$F$12)*((K81/$F$12)-($C$18/(PI()))*SIN((PI()*K81)/$F$12))+$D$3*K81)</f>
        <v>5.79286263685786</v>
      </c>
      <c r="M81" s="31">
        <f t="shared" si="7"/>
        <v>1.02020240499746</v>
      </c>
    </row>
    <row r="82" spans="1:13">
      <c r="A82" s="31">
        <f t="shared" si="0"/>
        <v>54</v>
      </c>
      <c r="B82" s="31">
        <f>IF(A82=" "," ",($B$26-$B$3*($F$9))*((A82/($F$9))-($C$18/(PI()))*SIN((PI()*A82)/($F$9)))+$B$3*A82)</f>
        <v>5.97531837192668</v>
      </c>
      <c r="C82" s="31">
        <f t="shared" si="4"/>
        <v>1.01905411425349</v>
      </c>
      <c r="D82" s="31">
        <f t="shared" si="1"/>
        <v>54</v>
      </c>
      <c r="E82" s="31">
        <f>IF(D82=" "," ",($E$26-$B$3*($F$8))*((D82/($F$8))-($C$18/(PI()))*SIN((PI()*D82)/($F$8)))+$B$3*D82)</f>
        <v>5.97531837192668</v>
      </c>
      <c r="F82" s="31">
        <f t="shared" si="5"/>
        <v>1.01905411425349</v>
      </c>
      <c r="G82" s="31"/>
      <c r="H82" s="31">
        <f t="shared" si="2"/>
        <v>54</v>
      </c>
      <c r="I82" s="31">
        <f>IF(H82=" "," ",($I$26-$D$3*$F$13)*((H82/$F$13)-($C$18/(PI()))*SIN((PI()*H82)/$F$13))+$D$3*H82)</f>
        <v>6.54170413591912</v>
      </c>
      <c r="J82" s="31">
        <f t="shared" si="6"/>
        <v>1.02626612194554</v>
      </c>
      <c r="K82" s="31">
        <f t="shared" si="3"/>
        <v>54</v>
      </c>
      <c r="L82" s="31">
        <f>IF(K82=" "," ",($L$26-$D$3*$F$12)*((K82/$F$12)-($C$18/(PI()))*SIN((PI()*K82)/$F$12))+$D$3*K82)</f>
        <v>6.05778344860961</v>
      </c>
      <c r="M82" s="31">
        <f t="shared" si="7"/>
        <v>1.01905871641197</v>
      </c>
    </row>
    <row r="83" spans="1:13">
      <c r="A83" s="31">
        <f t="shared" si="0"/>
        <v>55</v>
      </c>
      <c r="B83" s="31">
        <f>IF(A83=" "," ",($B$26-$B$3*($F$9))*((A83/($F$9))-($C$18/(PI()))*SIN((PI()*A83)/($F$9)))+$B$3*A83)</f>
        <v>6.24123307714888</v>
      </c>
      <c r="C83" s="31">
        <f t="shared" si="4"/>
        <v>1.01793269806067</v>
      </c>
      <c r="D83" s="31">
        <f t="shared" si="1"/>
        <v>55</v>
      </c>
      <c r="E83" s="31">
        <f>IF(D83=" "," ",($E$26-$B$3*($F$8))*((D83/($F$8))-($C$18/(PI()))*SIN((PI()*D83)/($F$8)))+$B$3*D83)</f>
        <v>6.24123307714888</v>
      </c>
      <c r="F83" s="31">
        <f t="shared" si="5"/>
        <v>1.01793269806067</v>
      </c>
      <c r="G83" s="31"/>
      <c r="H83" s="31">
        <f t="shared" si="2"/>
        <v>55</v>
      </c>
      <c r="I83" s="31">
        <f>IF(H83=" "," ",($I$26-$D$3*$F$13)*((H83/$F$13)-($C$18/(PI()))*SIN((PI()*H83)/$F$13))+$D$3*H83)</f>
        <v>6.8584942822941</v>
      </c>
      <c r="J83" s="31">
        <f t="shared" si="6"/>
        <v>1.0253221543742</v>
      </c>
      <c r="K83" s="31">
        <f t="shared" si="3"/>
        <v>55</v>
      </c>
      <c r="L83" s="31">
        <f>IF(K83=" "," ",($L$26-$D$3*$F$12)*((K83/$F$12)-($C$18/(PI()))*SIN((PI()*K83)/$F$12))+$D$3*K83)</f>
        <v>6.32745613128051</v>
      </c>
      <c r="M83" s="31">
        <f t="shared" si="7"/>
        <v>1.01793694835723</v>
      </c>
    </row>
    <row r="84" spans="1:13">
      <c r="A84" s="31">
        <f t="shared" si="0"/>
        <v>56</v>
      </c>
      <c r="B84" s="31">
        <f>IF(A84=" "," ",($B$26-$B$3*($F$9))*((A84/($F$9))-($C$18/(PI()))*SIN((PI()*A84)/($F$9)))+$B$3*A84)</f>
        <v>6.51162354730834</v>
      </c>
      <c r="C84" s="31">
        <f t="shared" si="4"/>
        <v>1.01683158114</v>
      </c>
      <c r="D84" s="31">
        <f t="shared" si="1"/>
        <v>56</v>
      </c>
      <c r="E84" s="31">
        <f>IF(D84=" "," ",($E$26-$B$3*($F$8))*((D84/($F$8))-($C$18/(PI()))*SIN((PI()*D84)/($F$8)))+$B$3*D84)</f>
        <v>6.51162354730834</v>
      </c>
      <c r="F84" s="31">
        <f t="shared" si="5"/>
        <v>1.01683158114</v>
      </c>
      <c r="G84" s="31"/>
      <c r="H84" s="31">
        <f t="shared" si="2"/>
        <v>56</v>
      </c>
      <c r="I84" s="31">
        <f>IF(H84=" "," ",($I$26-$D$3*$F$13)*((H84/$F$13)-($C$18/(PI()))*SIN((PI()*H84)/$F$13))+$D$3*H84)</f>
        <v>7.18301464176638</v>
      </c>
      <c r="J84" s="31">
        <f t="shared" si="6"/>
        <v>1.02440168416147</v>
      </c>
      <c r="K84" s="31">
        <f t="shared" si="3"/>
        <v>56</v>
      </c>
      <c r="L84" s="31">
        <f>IF(K84=" "," ",($L$26-$D$3*$F$12)*((K84/$F$12)-($C$18/(PI()))*SIN((PI()*K84)/$F$12))+$D$3*K84)</f>
        <v>6.60166888844403</v>
      </c>
      <c r="M84" s="31">
        <f t="shared" si="7"/>
        <v>1.01683550016139</v>
      </c>
    </row>
    <row r="85" spans="1:13">
      <c r="A85" s="31">
        <f t="shared" si="0"/>
        <v>57</v>
      </c>
      <c r="B85" s="31">
        <f>IF(A85=" "," ",($B$26-$B$3*($F$9))*((A85/($F$9))-($C$18/(PI()))*SIN((PI()*A85)/($F$9)))+$B$3*A85)</f>
        <v>6.78627246617401</v>
      </c>
      <c r="C85" s="31">
        <f t="shared" si="4"/>
        <v>1.01574925589533</v>
      </c>
      <c r="D85" s="31">
        <f t="shared" si="1"/>
        <v>57</v>
      </c>
      <c r="E85" s="31">
        <f>IF(D85=" "," ",($E$26-$B$3*($F$8))*((D85/($F$8))-($C$18/(PI()))*SIN((PI()*D85)/($F$8)))+$B$3*D85)</f>
        <v>6.78627246617401</v>
      </c>
      <c r="F85" s="31">
        <f t="shared" si="5"/>
        <v>1.01574925589533</v>
      </c>
      <c r="G85" s="31"/>
      <c r="H85" s="31">
        <f t="shared" si="2"/>
        <v>57</v>
      </c>
      <c r="I85" s="31">
        <f>IF(H85=" "," ",($I$26-$D$3*$F$13)*((H85/$F$13)-($C$18/(PI()))*SIN((PI()*H85)/$F$13))+$D$3*H85)</f>
        <v>7.51516231321032</v>
      </c>
      <c r="J85" s="31">
        <f t="shared" si="6"/>
        <v>1.02350333884767</v>
      </c>
      <c r="K85" s="31">
        <f t="shared" si="3"/>
        <v>57</v>
      </c>
      <c r="L85" s="31">
        <f>IF(K85=" "," ",($L$26-$D$3*$F$12)*((K85/$F$12)-($C$18/(PI()))*SIN((PI()*K85)/$F$12))+$D$3*K85)</f>
        <v>6.88020128138383</v>
      </c>
      <c r="M85" s="31">
        <f t="shared" si="7"/>
        <v>1.01575286219704</v>
      </c>
    </row>
    <row r="86" spans="1:13">
      <c r="A86" s="31">
        <f t="shared" si="0"/>
        <v>58</v>
      </c>
      <c r="B86" s="31">
        <f>IF(A86=" "," ",($B$26-$B$3*($F$9))*((A86/($F$9))-($C$18/(PI()))*SIN((PI()*A86)/($F$9)))+$B$3*A86)</f>
        <v>7.06495441131567</v>
      </c>
      <c r="C86" s="31">
        <f t="shared" si="4"/>
        <v>1.01468429692952</v>
      </c>
      <c r="D86" s="31">
        <f t="shared" si="1"/>
        <v>58</v>
      </c>
      <c r="E86" s="31">
        <f>IF(D86=" "," ",($E$26-$B$3*($F$8))*((D86/($F$8))-($C$18/(PI()))*SIN((PI()*D86)/($F$8)))+$B$3*D86)</f>
        <v>7.06495441131567</v>
      </c>
      <c r="F86" s="31">
        <f t="shared" si="5"/>
        <v>1.01468429692952</v>
      </c>
      <c r="G86" s="31"/>
      <c r="H86" s="31">
        <f t="shared" si="2"/>
        <v>58</v>
      </c>
      <c r="I86" s="31">
        <f>IF(H86=" "," ",($I$26-$D$3*$F$13)*((H86/$F$13)-($C$18/(PI()))*SIN((PI()*H86)/$F$13))+$D$3*H86)</f>
        <v>7.85482510279549</v>
      </c>
      <c r="J86" s="31">
        <f t="shared" si="6"/>
        <v>1.02262583419169</v>
      </c>
      <c r="K86" s="31">
        <f t="shared" si="3"/>
        <v>58</v>
      </c>
      <c r="L86" s="31">
        <f>IF(K86=" "," ",($L$26-$D$3*$F$12)*((K86/$F$12)-($C$18/(PI()))*SIN((PI()*K86)/$F$12))+$D$3*K86)</f>
        <v>7.16282464871133</v>
      </c>
      <c r="M86" s="31">
        <f t="shared" si="7"/>
        <v>1.01468760722775</v>
      </c>
    </row>
    <row r="87" spans="1:13">
      <c r="A87" s="31">
        <f t="shared" si="0"/>
        <v>59</v>
      </c>
      <c r="B87" s="31">
        <f>IF(A87=" "," ",($B$26-$B$3*($F$9))*((A87/($F$9))-($C$18/(PI()))*SIN((PI()*A87)/($F$9)))+$B$3*A87)</f>
        <v>7.34743628320836</v>
      </c>
      <c r="C87" s="31">
        <f t="shared" si="4"/>
        <v>1.01363535319486</v>
      </c>
      <c r="D87" s="31">
        <f t="shared" si="1"/>
        <v>59</v>
      </c>
      <c r="E87" s="31">
        <f>IF(D87=" "," ",($E$26-$B$3*($F$8))*((D87/($F$8))-($C$18/(PI()))*SIN((PI()*D87)/($F$8)))+$B$3*D87)</f>
        <v>7.34743628320836</v>
      </c>
      <c r="F87" s="31">
        <f t="shared" si="5"/>
        <v>1.01363535319486</v>
      </c>
      <c r="G87" s="31"/>
      <c r="H87" s="31">
        <f t="shared" si="2"/>
        <v>59</v>
      </c>
      <c r="I87" s="31">
        <f>IF(H87=" "," ",($I$26-$D$3*$F$13)*((H87/$F$13)-($C$18/(PI()))*SIN((PI()*H87)/$F$13))+$D$3*H87)</f>
        <v>8.20188166067766</v>
      </c>
      <c r="J87" s="31">
        <f t="shared" si="6"/>
        <v>1.02176796671199</v>
      </c>
      <c r="K87" s="31">
        <f t="shared" si="3"/>
        <v>59</v>
      </c>
      <c r="L87" s="31">
        <f>IF(K87=" "," ",($L$26-$D$3*$F$12)*((K87/$F$12)-($C$18/(PI()))*SIN((PI()*K87)/$F$12))+$D$3*K87)</f>
        <v>7.44930254163569</v>
      </c>
      <c r="M87" s="31">
        <f t="shared" si="7"/>
        <v>1.01363838253472</v>
      </c>
    </row>
    <row r="88" spans="1:13">
      <c r="A88" s="31">
        <f t="shared" si="0"/>
        <v>60</v>
      </c>
      <c r="B88" s="31">
        <f>IF(A88=" "," ",($B$26-$B$3*($F$9))*((A88/($F$9))-($C$18/(PI()))*SIN((PI()*A88)/($F$9)))+$B$3*A88)</f>
        <v>7.63347774895061</v>
      </c>
      <c r="C88" s="31">
        <f t="shared" si="4"/>
        <v>1.01260114082968</v>
      </c>
      <c r="D88" s="31">
        <f t="shared" si="1"/>
        <v>60</v>
      </c>
      <c r="E88" s="31">
        <f>IF(D88=" "," ",($E$26-$B$3*($F$8))*((D88/($F$8))-($C$18/(PI()))*SIN((PI()*D88)/($F$8)))+$B$3*D88)</f>
        <v>7.63347774895061</v>
      </c>
      <c r="F88" s="31">
        <f t="shared" si="5"/>
        <v>1.01260114082968</v>
      </c>
      <c r="G88" s="31"/>
      <c r="H88" s="31">
        <f t="shared" si="2"/>
        <v>60</v>
      </c>
      <c r="I88" s="31">
        <f>IF(H88=" "," ",($I$26-$D$3*$F$13)*((H88/$F$13)-($C$18/(PI()))*SIN((PI()*H88)/$F$13))+$D$3*H88)</f>
        <v>8.55620162884484</v>
      </c>
      <c r="J88" s="31">
        <f t="shared" si="6"/>
        <v>1.02092860693752</v>
      </c>
      <c r="K88" s="31">
        <f t="shared" si="3"/>
        <v>60</v>
      </c>
      <c r="L88" s="31">
        <f>IF(K88=" "," ",($L$26-$D$3*$F$12)*((K88/$F$12)-($C$18/(PI()))*SIN((PI()*K88)/$F$12))+$D$3*K88)</f>
        <v>7.73939117405754</v>
      </c>
      <c r="M88" s="31">
        <f t="shared" si="7"/>
        <v>1.01260390273271</v>
      </c>
    </row>
    <row r="89" spans="1:13">
      <c r="A89" s="31">
        <f t="shared" si="0"/>
        <v>61</v>
      </c>
      <c r="B89" s="31">
        <f>IF(A89=" "," ",($B$26-$B$3*($F$9))*((A89/($F$9))-($C$18/(PI()))*SIN((PI()*A89)/($F$9)))+$B$3*A89)</f>
        <v>7.92283169975171</v>
      </c>
      <c r="C89" s="31">
        <f t="shared" si="4"/>
        <v>1.01158043659948</v>
      </c>
      <c r="D89" s="31">
        <f t="shared" si="1"/>
        <v>61</v>
      </c>
      <c r="E89" s="31">
        <f>IF(D89=" "," ",($E$26-$B$3*($F$8))*((D89/($F$8))-($C$18/(PI()))*SIN((PI()*D89)/($F$8)))+$B$3*D89)</f>
        <v>7.92283169975171</v>
      </c>
      <c r="F89" s="31">
        <f t="shared" si="5"/>
        <v>1.01158043659948</v>
      </c>
      <c r="G89" s="31"/>
      <c r="H89" s="31">
        <f t="shared" si="2"/>
        <v>61</v>
      </c>
      <c r="I89" s="31">
        <f>IF(H89=" "," ",($I$26-$D$3*$F$13)*((H89/$F$13)-($C$18/(PI()))*SIN((PI()*H89)/$F$13))+$D$3*H89)</f>
        <v>8.91764579993844</v>
      </c>
      <c r="J89" s="31">
        <f t="shared" si="6"/>
        <v>1.02010669328989</v>
      </c>
      <c r="K89" s="31">
        <f t="shared" si="3"/>
        <v>61</v>
      </c>
      <c r="L89" s="31">
        <f>IF(K89=" "," ",($L$26-$D$3*$F$12)*((K89/$F$12)-($C$18/(PI()))*SIN((PI()*K89)/$F$12))+$D$3*K89)</f>
        <v>8.03283988662965</v>
      </c>
      <c r="M89" s="31">
        <f t="shared" si="7"/>
        <v>1.0115829431929</v>
      </c>
    </row>
    <row r="90" spans="1:13">
      <c r="A90" s="31">
        <f t="shared" si="0"/>
        <v>62</v>
      </c>
      <c r="B90" s="31">
        <f>IF(A90=" "," ",($B$26-$B$3*($F$9))*((A90/($F$9))-($C$18/(PI()))*SIN((PI()*A90)/($F$9)))+$B$3*A90)</f>
        <v>8.21524472131739</v>
      </c>
      <c r="C90" s="31">
        <f t="shared" si="4"/>
        <v>1.01057207187288</v>
      </c>
      <c r="D90" s="31">
        <f t="shared" si="1"/>
        <v>62</v>
      </c>
      <c r="E90" s="31">
        <f>IF(D90=" "," ",($E$26-$B$3*($F$8))*((D90/($F$8))-($C$18/(PI()))*SIN((PI()*D90)/($F$8)))+$B$3*D90)</f>
        <v>8.21524472131739</v>
      </c>
      <c r="F90" s="31">
        <f t="shared" si="5"/>
        <v>1.01057207187288</v>
      </c>
      <c r="G90" s="31"/>
      <c r="H90" s="31">
        <f t="shared" si="2"/>
        <v>62</v>
      </c>
      <c r="I90" s="31">
        <f>IF(H90=" "," ",($I$26-$D$3*$F$13)*((H90/$F$13)-($C$18/(PI()))*SIN((PI()*H90)/$F$13))+$D$3*H90)</f>
        <v>9.286066286856</v>
      </c>
      <c r="J90" s="31">
        <f t="shared" si="6"/>
        <v>1.0193012265293</v>
      </c>
      <c r="K90" s="31">
        <f t="shared" si="3"/>
        <v>62</v>
      </c>
      <c r="L90" s="31">
        <f>IF(K90=" "," ",($L$26-$D$3*$F$12)*((K90/$F$12)-($C$18/(PI()))*SIN((PI()*K90)/$F$12))+$D$3*K90)</f>
        <v>8.32939162390122</v>
      </c>
      <c r="M90" s="31">
        <f t="shared" si="7"/>
        <v>1.01057433400295</v>
      </c>
    </row>
    <row r="91" spans="1:13">
      <c r="A91" s="31">
        <f t="shared" si="0"/>
        <v>63</v>
      </c>
      <c r="B91" s="31">
        <f>IF(A91=" "," ",($B$26-$B$3*($F$9))*((A91/($F$9))-($C$18/(PI()))*SIN((PI()*A91)/($F$9)))+$B$3*A91)</f>
        <v>8.51045757623828</v>
      </c>
      <c r="C91" s="31">
        <f t="shared" si="4"/>
        <v>1.009574927068</v>
      </c>
      <c r="D91" s="31">
        <f t="shared" si="1"/>
        <v>63</v>
      </c>
      <c r="E91" s="31">
        <f>IF(D91=" "," ",($E$26-$B$3*($F$8))*((D91/($F$8))-($C$18/(PI()))*SIN((PI()*D91)/($F$8)))+$B$3*D91)</f>
        <v>8.51045757623828</v>
      </c>
      <c r="F91" s="31">
        <f t="shared" si="5"/>
        <v>1.009574927068</v>
      </c>
      <c r="G91" s="31"/>
      <c r="H91" s="31">
        <f t="shared" si="2"/>
        <v>63</v>
      </c>
      <c r="I91" s="31">
        <f>IF(H91=" "," ",($I$26-$D$3*$F$13)*((H91/$F$13)-($C$18/(PI()))*SIN((PI()*H91)/$F$13))+$D$3*H91)</f>
        <v>9.66130670292888</v>
      </c>
      <c r="J91" s="31">
        <f t="shared" si="6"/>
        <v>1.01851126470292</v>
      </c>
      <c r="K91" s="31">
        <f t="shared" si="3"/>
        <v>63</v>
      </c>
      <c r="L91" s="31">
        <f>IF(K91=" "," ",($L$26-$D$3*$F$12)*((K91/$F$12)-($C$18/(PI()))*SIN((PI()*K91)/$F$12))+$D$3*K91)</f>
        <v>8.62878342363762</v>
      </c>
      <c r="M91" s="31">
        <f t="shared" si="7"/>
        <v>1.00957695439908</v>
      </c>
    </row>
    <row r="92" spans="1:13">
      <c r="A92" s="31">
        <f t="shared" si="0"/>
        <v>64</v>
      </c>
      <c r="B92" s="31">
        <f>IF(A92=" "," ",($B$26-$B$3*($F$9))*((A92/($F$9))-($C$18/(PI()))*SIN((PI()*A92)/($F$9)))+$B$3*A92)</f>
        <v>8.80820569746314</v>
      </c>
      <c r="C92" s="31">
        <f t="shared" si="4"/>
        <v>1.0085879265137</v>
      </c>
      <c r="D92" s="31">
        <f t="shared" si="1"/>
        <v>64</v>
      </c>
      <c r="E92" s="31">
        <f>IF(D92=" "," ",($E$26-$B$3*($F$8))*((D92/($F$8))-($C$18/(PI()))*SIN((PI()*D92)/($F$8)))+$B$3*D92)</f>
        <v>8.80820569746314</v>
      </c>
      <c r="F92" s="31">
        <f t="shared" si="5"/>
        <v>1.0085879265137</v>
      </c>
      <c r="G92" s="31"/>
      <c r="H92" s="31">
        <f t="shared" si="2"/>
        <v>64</v>
      </c>
      <c r="I92" s="31">
        <f>IF(H92=" "," ",($I$26-$D$3*$F$13)*((H92/$F$13)-($C$18/(PI()))*SIN((PI()*H92)/$F$13))+$D$3*H92)</f>
        <v>10.0432023524553</v>
      </c>
      <c r="J92" s="31">
        <f t="shared" si="6"/>
        <v>1.01773591854299</v>
      </c>
      <c r="K92" s="31">
        <f t="shared" si="3"/>
        <v>64</v>
      </c>
      <c r="L92" s="31">
        <f>IF(K92=" "," ",($L$26-$D$3*$F$12)*((K92/$F$12)-($C$18/(PI()))*SIN((PI()*K92)/$F$12))+$D$3*K92)</f>
        <v>8.93074691738385</v>
      </c>
      <c r="M92" s="31">
        <f t="shared" si="7"/>
        <v>1.00858972761481</v>
      </c>
    </row>
    <row r="93" spans="1:13">
      <c r="A93" s="31">
        <f t="shared" ref="A93:A156" si="8">IF(($F$9)-ROW(A65)&gt;=0,($F$9)-(($F$9)-ROW(A65))," ")</f>
        <v>65</v>
      </c>
      <c r="B93" s="31">
        <f>IF(A93=" "," ",($B$26-$B$3*($F$9))*((A93/($F$9))-($C$18/(PI()))*SIN((PI()*A93)/($F$9)))+$B$3*A93)</f>
        <v>9.10821969191718</v>
      </c>
      <c r="C93" s="31">
        <f t="shared" si="4"/>
        <v>1.00761003367498</v>
      </c>
      <c r="D93" s="31">
        <f t="shared" ref="D93:D156" si="9">IF(($F$8)-ROW(D65)&gt;=0,($F$8)-(($F$8)-ROW(D65))," ")</f>
        <v>65</v>
      </c>
      <c r="E93" s="31">
        <f>IF(D93=" "," ",($E$26-$B$3*($F$8))*((D93/($F$8))-($C$18/(PI()))*SIN((PI()*D93)/($F$8)))+$B$3*D93)</f>
        <v>9.10821969191718</v>
      </c>
      <c r="F93" s="31">
        <f t="shared" si="5"/>
        <v>1.00761003367498</v>
      </c>
      <c r="G93" s="31"/>
      <c r="H93" s="31">
        <f t="shared" ref="H93:H156" si="10">IF($F$13-ROW(H65)&gt;=0,$F$13-($F$13-ROW(H65))," ")</f>
        <v>65</v>
      </c>
      <c r="I93" s="31">
        <f>IF(H93=" "," ",($I$26-$D$3*$F$13)*((H93/$F$13)-($C$18/(PI()))*SIN((PI()*H93)/$F$13))+$D$3*H93)</f>
        <v>10.4315804313565</v>
      </c>
      <c r="J93" s="31">
        <f t="shared" si="6"/>
        <v>1.01697434726719</v>
      </c>
      <c r="K93" s="31">
        <f t="shared" ref="K93:K156" si="11">IF($F$12-ROW(K65)&gt;=0,$F$12-($F$12-ROW(K65))," ")</f>
        <v>65</v>
      </c>
      <c r="L93" s="31">
        <f>IF(K93=" "," ",($L$26-$D$3*$F$12)*((K93/$F$12)-($C$18/(PI()))*SIN((PI()*K93)/$F$12))+$D$3*K93)</f>
        <v>9.23500884131923</v>
      </c>
      <c r="M93" s="31">
        <f t="shared" si="7"/>
        <v>1.00761161609515</v>
      </c>
    </row>
    <row r="94" spans="1:13">
      <c r="A94" s="31">
        <f t="shared" si="8"/>
        <v>66</v>
      </c>
      <c r="B94" s="31">
        <f>IF(A94=" "," ",($B$26-$B$3*($F$9))*((A94/($F$9))-($C$18/(PI()))*SIN((PI()*A94)/($F$9)))+$B$3*A94)</f>
        <v>9.41022585330716</v>
      </c>
      <c r="C94" s="31">
        <f t="shared" ref="C94:C157" si="12">IF(A94=" "," ",(B94-B93)/(B93-B92))</f>
        <v>1.00664024669769</v>
      </c>
      <c r="D94" s="31">
        <f t="shared" si="9"/>
        <v>66</v>
      </c>
      <c r="E94" s="31">
        <f>IF(D94=" "," ",($E$26-$B$3*($F$8))*((D94/($F$8))-($C$18/(PI()))*SIN((PI()*D94)/($F$8)))+$B$3*D94)</f>
        <v>9.41022585330716</v>
      </c>
      <c r="F94" s="31">
        <f t="shared" ref="F94:F157" si="13">IF(D94=" "," ",(E94-E93)/(E93-E92))</f>
        <v>1.00664024669769</v>
      </c>
      <c r="G94" s="31"/>
      <c r="H94" s="31">
        <f t="shared" si="10"/>
        <v>66</v>
      </c>
      <c r="I94" s="31">
        <f>IF(H94=" "," ",($I$26-$D$3*$F$13)*((H94/$F$13)-($C$18/(PI()))*SIN((PI()*H94)/$F$13))+$D$3*H94)</f>
        <v>10.8262602377125</v>
      </c>
      <c r="J94" s="31">
        <f t="shared" ref="J94:J157" si="14">IF(H94=" "," ",(I94-I93)/(I93-I92))</f>
        <v>1.01622575473997</v>
      </c>
      <c r="K94" s="31">
        <f t="shared" si="11"/>
        <v>66</v>
      </c>
      <c r="L94" s="31">
        <f>IF(K94=" "," ",($L$26-$D$3*$F$12)*((K94/$F$12)-($C$18/(PI()))*SIN((PI()*K94)/$F$12))+$D$3*K94)</f>
        <v>9.54129155643057</v>
      </c>
      <c r="M94" s="31">
        <f t="shared" ref="M94:M157" si="15">IF(K94=" "," ",(L94-L93)/(L93-L92))</f>
        <v>1.00664161703121</v>
      </c>
    </row>
    <row r="95" spans="1:13">
      <c r="A95" s="31">
        <f t="shared" si="8"/>
        <v>67</v>
      </c>
      <c r="B95" s="31">
        <f>IF(A95=" "," ",($B$26-$B$3*($F$9))*((A95/($F$9))-($C$18/(PI()))*SIN((PI()*A95)/($F$9)))+$B$3*A95)</f>
        <v>9.71394668313683</v>
      </c>
      <c r="C95" s="31">
        <f t="shared" si="12"/>
        <v>1.0056775942312</v>
      </c>
      <c r="D95" s="31">
        <f t="shared" si="9"/>
        <v>67</v>
      </c>
      <c r="E95" s="31">
        <f>IF(D95=" "," ",($E$26-$B$3*($F$8))*((D95/($F$8))-($C$18/(PI()))*SIN((PI()*D95)/($F$8)))+$B$3*D95)</f>
        <v>9.71394668313683</v>
      </c>
      <c r="F95" s="31">
        <f t="shared" si="13"/>
        <v>1.0056775942312</v>
      </c>
      <c r="G95" s="31"/>
      <c r="H95" s="31">
        <f t="shared" si="10"/>
        <v>67</v>
      </c>
      <c r="I95" s="31">
        <f>IF(H95=" "," ",($I$26-$D$3*$F$13)*((H95/$F$13)-($C$18/(PI()))*SIN((PI()*H95)/$F$13))+$D$3*H95)</f>
        <v>11.2270533919185</v>
      </c>
      <c r="J95" s="31">
        <f t="shared" si="14"/>
        <v>1.01548938595723</v>
      </c>
      <c r="K95" s="31">
        <f t="shared" si="11"/>
        <v>67</v>
      </c>
      <c r="L95" s="31">
        <f>IF(K95=" "," ",($L$26-$D$3*$F$12)*((K95/$F$12)-($C$18/(PI()))*SIN((PI()*K95)/$F$12))+$D$3*K95)</f>
        <v>9.84931357701383</v>
      </c>
      <c r="M95" s="31">
        <f t="shared" si="15"/>
        <v>1.00567875817373</v>
      </c>
    </row>
    <row r="96" spans="1:13">
      <c r="A96" s="31">
        <f t="shared" si="8"/>
        <v>68</v>
      </c>
      <c r="B96" s="31">
        <f>IF(A96=" "," ",($B$26-$B$3*($F$9))*((A96/($F$9))-($C$18/(PI()))*SIN((PI()*A96)/($F$9)))+$B$3*A96)</f>
        <v>10.0191014189411</v>
      </c>
      <c r="C96" s="31">
        <f t="shared" si="12"/>
        <v>1.00472113149247</v>
      </c>
      <c r="D96" s="31">
        <f t="shared" si="9"/>
        <v>68</v>
      </c>
      <c r="E96" s="31">
        <f>IF(D96=" "," ",($E$26-$B$3*($F$8))*((D96/($F$8))-($C$18/(PI()))*SIN((PI()*D96)/($F$8)))+$B$3*D96)</f>
        <v>10.0191014189411</v>
      </c>
      <c r="F96" s="31">
        <f t="shared" si="13"/>
        <v>1.00472113149247</v>
      </c>
      <c r="G96" s="31"/>
      <c r="H96" s="31">
        <f t="shared" si="10"/>
        <v>68</v>
      </c>
      <c r="I96" s="31">
        <f>IF(H96=" "," ",($I$26-$D$3*$F$13)*((H96/$F$13)-($C$18/(PI()))*SIN((PI()*H96)/$F$13))+$D$3*H96)</f>
        <v>11.6337640661977</v>
      </c>
      <c r="J96" s="31">
        <f t="shared" si="14"/>
        <v>1.0147645238222</v>
      </c>
      <c r="K96" s="31">
        <f t="shared" si="11"/>
        <v>68</v>
      </c>
      <c r="L96" s="31">
        <f>IF(K96=" "," ",($L$26-$D$3*$F$12)*((K96/$F$12)-($C$18/(PI()))*SIN((PI()*K96)/$F$12))+$D$3*K96)</f>
        <v>10.1587901064981</v>
      </c>
      <c r="M96" s="31">
        <f t="shared" si="15"/>
        <v>1.0047220938889</v>
      </c>
    </row>
    <row r="97" spans="1:13">
      <c r="A97" s="31">
        <f t="shared" si="8"/>
        <v>69</v>
      </c>
      <c r="B97" s="31">
        <f>IF(A97=" "," ",($B$26-$B$3*($F$9))*((A97/($F$9))-($C$18/(PI()))*SIN((PI()*A97)/($F$9)))+$B$3*A97)</f>
        <v>10.3254065687335</v>
      </c>
      <c r="C97" s="31">
        <f t="shared" si="12"/>
        <v>1.00376993653729</v>
      </c>
      <c r="D97" s="31">
        <f t="shared" si="9"/>
        <v>69</v>
      </c>
      <c r="E97" s="31">
        <f>IF(D97=" "," ",($E$26-$B$3*($F$8))*((D97/($F$8))-($C$18/(PI()))*SIN((PI()*D97)/($F$8)))+$B$3*D97)</f>
        <v>10.3254065687335</v>
      </c>
      <c r="F97" s="31">
        <f t="shared" si="13"/>
        <v>1.00376993653729</v>
      </c>
      <c r="G97" s="31"/>
      <c r="H97" s="31">
        <f t="shared" si="10"/>
        <v>69</v>
      </c>
      <c r="I97" s="31">
        <f>IF(H97=" "," ",($I$26-$D$3*$F$13)*((H97/$F$13)-($C$18/(PI()))*SIN((PI()*H97)/$F$13))+$D$3*H97)</f>
        <v>12.046189223186</v>
      </c>
      <c r="J97" s="31">
        <f t="shared" si="14"/>
        <v>1.01405048618251</v>
      </c>
      <c r="K97" s="31">
        <f t="shared" si="11"/>
        <v>69</v>
      </c>
      <c r="L97" s="31">
        <f>IF(K97=" "," ",($L$26-$D$3*$F$12)*((K97/$F$12)-($C$18/(PI()))*SIN((PI()*K97)/$F$12))+$D$3*K97)</f>
        <v>10.4694335795722</v>
      </c>
      <c r="M97" s="31">
        <f t="shared" si="15"/>
        <v>1.00377070142204</v>
      </c>
    </row>
    <row r="98" spans="1:13">
      <c r="A98" s="31">
        <f t="shared" si="8"/>
        <v>70</v>
      </c>
      <c r="B98" s="31">
        <f>IF(A98=" "," ",($B$26-$B$3*($F$9))*((A98/($F$9))-($C$18/(PI()))*SIN((PI()*A98)/($F$9)))+$B$3*A98)</f>
        <v>10.6325764506488</v>
      </c>
      <c r="C98" s="31">
        <f t="shared" si="12"/>
        <v>1.00282310670787</v>
      </c>
      <c r="D98" s="31">
        <f t="shared" si="9"/>
        <v>70</v>
      </c>
      <c r="E98" s="31">
        <f>IF(D98=" "," ",($E$26-$B$3*($F$8))*((D98/($F$8))-($C$18/(PI()))*SIN((PI()*D98)/($F$8)))+$B$3*D98)</f>
        <v>10.6325764506488</v>
      </c>
      <c r="F98" s="31">
        <f t="shared" si="13"/>
        <v>1.00282310670787</v>
      </c>
      <c r="G98" s="31"/>
      <c r="H98" s="31">
        <f t="shared" si="10"/>
        <v>70</v>
      </c>
      <c r="I98" s="31">
        <f>IF(H98=" "," ",($I$26-$D$3*$F$13)*((H98/$F$13)-($C$18/(PI()))*SIN((PI()*H98)/$F$13))+$D$3*H98)</f>
        <v>12.4641188633029</v>
      </c>
      <c r="J98" s="31">
        <f t="shared" si="14"/>
        <v>1.01334662310293</v>
      </c>
      <c r="K98" s="31">
        <f t="shared" si="11"/>
        <v>70</v>
      </c>
      <c r="L98" s="31">
        <f>IF(K98=" "," ",($L$26-$D$3*$F$12)*((K98/$F$12)-($C$18/(PI()))*SIN((PI()*K98)/$F$12))+$D$3*K98)</f>
        <v>10.7809542095815</v>
      </c>
      <c r="M98" s="31">
        <f t="shared" si="15"/>
        <v>1.00282367733804</v>
      </c>
    </row>
    <row r="99" spans="1:13">
      <c r="A99" s="31">
        <f t="shared" si="8"/>
        <v>71</v>
      </c>
      <c r="B99" s="31">
        <f>IF(A99=" "," ",($B$26-$B$3*($F$9))*((A99/($F$9))-($C$18/(PI()))*SIN((PI()*A99)/($F$9)))+$B$3*A99)</f>
        <v>10.9403237367555</v>
      </c>
      <c r="C99" s="31">
        <f t="shared" si="12"/>
        <v>1.00187975522759</v>
      </c>
      <c r="D99" s="31">
        <f t="shared" si="9"/>
        <v>71</v>
      </c>
      <c r="E99" s="31">
        <f>IF(D99=" "," ",($E$26-$B$3*($F$8))*((D99/($F$8))-($C$18/(PI()))*SIN((PI()*D99)/($F$8)))+$B$3*D99)</f>
        <v>10.9403237367555</v>
      </c>
      <c r="F99" s="31">
        <f t="shared" si="13"/>
        <v>1.00187975522759</v>
      </c>
      <c r="G99" s="31"/>
      <c r="H99" s="31">
        <f t="shared" si="10"/>
        <v>71</v>
      </c>
      <c r="I99" s="31">
        <f>IF(H99=" "," ",($I$26-$D$3*$F$13)*((H99/$F$13)-($C$18/(PI()))*SIN((PI()*H99)/$F$13))+$D$3*H99)</f>
        <v>12.8873362806027</v>
      </c>
      <c r="J99" s="31">
        <f t="shared" si="14"/>
        <v>1.01265231435006</v>
      </c>
      <c r="K99" s="31">
        <f t="shared" si="11"/>
        <v>71</v>
      </c>
      <c r="L99" s="31">
        <f>IF(K99=" "," ",($L$26-$D$3*$F$12)*((K99/$F$12)-($C$18/(PI()))*SIN((PI()*K99)/$F$12))+$D$3*K99)</f>
        <v>11.0930605401531</v>
      </c>
      <c r="M99" s="31">
        <f t="shared" si="15"/>
        <v>1.00188013410976</v>
      </c>
    </row>
    <row r="100" spans="1:13">
      <c r="A100" s="31">
        <f t="shared" si="8"/>
        <v>72</v>
      </c>
      <c r="B100" s="31">
        <f>IF(A100=" "," ",($B$26-$B$3*($F$9))*((A100/($F$9))-($C$18/(PI()))*SIN((PI()*A100)/($F$9)))+$B$3*A100)</f>
        <v>11.24836</v>
      </c>
      <c r="C100" s="31">
        <f t="shared" si="12"/>
        <v>1.00093900791622</v>
      </c>
      <c r="D100" s="31">
        <f t="shared" si="9"/>
        <v>72</v>
      </c>
      <c r="E100" s="31">
        <f>IF(D100=" "," ",($E$26-$B$3*($F$8))*((D100/($F$8))-($C$18/(PI()))*SIN((PI()*D100)/($F$8)))+$B$3*D100)</f>
        <v>11.24836</v>
      </c>
      <c r="F100" s="31">
        <f t="shared" si="13"/>
        <v>1.00093900791622</v>
      </c>
      <c r="G100" s="31"/>
      <c r="H100" s="31">
        <f t="shared" si="10"/>
        <v>72</v>
      </c>
      <c r="I100" s="31">
        <f>IF(H100=" "," ",($I$26-$D$3*$F$13)*((H100/$F$13)-($C$18/(PI()))*SIN((PI()*H100)/$F$13))+$D$3*H100)</f>
        <v>13.315618326798</v>
      </c>
      <c r="J100" s="31">
        <f t="shared" si="14"/>
        <v>1.01196696706805</v>
      </c>
      <c r="K100" s="31">
        <f t="shared" si="11"/>
        <v>72</v>
      </c>
      <c r="L100" s="31">
        <f>IF(K100=" "," ",($L$26-$D$3*$F$12)*((K100/$F$12)-($C$18/(PI()))*SIN((PI()*K100)/$F$12))+$D$3*K100)</f>
        <v>11.40546</v>
      </c>
      <c r="M100" s="31">
        <f t="shared" si="15"/>
        <v>1.00093919682683</v>
      </c>
    </row>
    <row r="101" spans="1:13">
      <c r="A101" s="31" t="str">
        <f t="shared" si="8"/>
        <v> </v>
      </c>
      <c r="B101" s="31" t="str">
        <f>IF(A101=" "," ",($B$26-$B$3*($F$9))*((A101/($F$9))-($C$18/(PI()))*SIN((PI()*A101)/($F$9)))+$B$3*A101)</f>
        <v> </v>
      </c>
      <c r="C101" s="31" t="str">
        <f t="shared" si="12"/>
        <v> </v>
      </c>
      <c r="D101" s="31" t="str">
        <f t="shared" si="9"/>
        <v> </v>
      </c>
      <c r="E101" s="31" t="str">
        <f>IF(D101=" "," ",($E$26-$B$3*($F$8))*((D101/($F$8))-($C$18/(PI()))*SIN((PI()*D101)/($F$8)))+$B$3*D101)</f>
        <v> </v>
      </c>
      <c r="F101" s="31" t="str">
        <f t="shared" si="13"/>
        <v> </v>
      </c>
      <c r="G101" s="31"/>
      <c r="H101" s="31">
        <f t="shared" si="10"/>
        <v>73</v>
      </c>
      <c r="I101" s="31">
        <f>IF(H101=" "," ",($I$26-$D$3*$F$13)*((H101/$F$13)-($C$18/(PI()))*SIN((PI()*H101)/$F$13))+$D$3*H101)</f>
        <v>13.748735683131</v>
      </c>
      <c r="J101" s="31">
        <f t="shared" si="14"/>
        <v>1.01129001362707</v>
      </c>
      <c r="K101" s="31" t="str">
        <f t="shared" si="11"/>
        <v> </v>
      </c>
      <c r="L101" s="31" t="str">
        <f>IF(K101=" "," ",($L$26-$D$3*$F$12)*((K101/$F$12)-($C$18/(PI()))*SIN((PI()*K101)/$F$12))+$D$3*K101)</f>
        <v> </v>
      </c>
      <c r="M101" s="31" t="str">
        <f t="shared" si="15"/>
        <v> </v>
      </c>
    </row>
    <row r="102" spans="1:13">
      <c r="A102" s="31" t="str">
        <f t="shared" si="8"/>
        <v> </v>
      </c>
      <c r="B102" s="31" t="str">
        <f>IF(A102=" "," ",($B$26-$B$3*($F$9))*((A102/($F$9))-($C$18/(PI()))*SIN((PI()*A102)/($F$9)))+$B$3*A102)</f>
        <v> </v>
      </c>
      <c r="C102" s="31" t="str">
        <f t="shared" si="12"/>
        <v> </v>
      </c>
      <c r="D102" s="31" t="str">
        <f t="shared" si="9"/>
        <v> </v>
      </c>
      <c r="E102" s="31" t="str">
        <f>IF(D102=" "," ",($E$26-$B$3*($F$8))*((D102/($F$8))-($C$18/(PI()))*SIN((PI()*D102)/($F$8)))+$B$3*D102)</f>
        <v> </v>
      </c>
      <c r="F102" s="31" t="str">
        <f t="shared" si="13"/>
        <v> </v>
      </c>
      <c r="G102" s="31"/>
      <c r="H102" s="31">
        <f t="shared" si="10"/>
        <v>74</v>
      </c>
      <c r="I102" s="31">
        <f>IF(H102=" "," ",($I$26-$D$3*$F$13)*((H102/$F$13)-($C$18/(PI()))*SIN((PI()*H102)/$F$13))+$D$3*H102)</f>
        <v>14.1864531397636</v>
      </c>
      <c r="J102" s="31">
        <f t="shared" si="14"/>
        <v>1.01062090962704</v>
      </c>
      <c r="K102" s="31" t="str">
        <f t="shared" si="11"/>
        <v> </v>
      </c>
      <c r="L102" s="31" t="str">
        <f>IF(K102=" "," ",($L$26-$D$3*$F$12)*((K102/$F$12)-($C$18/(PI()))*SIN((PI()*K102)/$F$12))+$D$3*K102)</f>
        <v> </v>
      </c>
      <c r="M102" s="31" t="str">
        <f t="shared" si="15"/>
        <v> </v>
      </c>
    </row>
    <row r="103" spans="1:13">
      <c r="A103" s="31" t="str">
        <f t="shared" si="8"/>
        <v> </v>
      </c>
      <c r="B103" s="31" t="str">
        <f>IF(A103=" "," ",($B$26-$B$3*($F$9))*((A103/($F$9))-($C$18/(PI()))*SIN((PI()*A103)/($F$9)))+$B$3*A103)</f>
        <v> </v>
      </c>
      <c r="C103" s="31" t="str">
        <f t="shared" si="12"/>
        <v> </v>
      </c>
      <c r="D103" s="31" t="str">
        <f t="shared" si="9"/>
        <v> </v>
      </c>
      <c r="E103" s="31" t="str">
        <f>IF(D103=" "," ",($E$26-$B$3*($F$8))*((D103/($F$8))-($C$18/(PI()))*SIN((PI()*D103)/($F$8)))+$B$3*D103)</f>
        <v> </v>
      </c>
      <c r="F103" s="31" t="str">
        <f t="shared" si="13"/>
        <v> </v>
      </c>
      <c r="G103" s="31"/>
      <c r="H103" s="31">
        <f t="shared" si="10"/>
        <v>75</v>
      </c>
      <c r="I103" s="31">
        <f>IF(H103=" "," ",($I$26-$D$3*$F$13)*((H103/$F$13)-($C$18/(PI()))*SIN((PI()*H103)/$F$13))+$D$3*H103)</f>
        <v>14.6285298823438</v>
      </c>
      <c r="J103" s="31">
        <f t="shared" si="14"/>
        <v>1.00995913204189</v>
      </c>
      <c r="K103" s="31" t="str">
        <f t="shared" si="11"/>
        <v> </v>
      </c>
      <c r="L103" s="31" t="str">
        <f>IF(K103=" "," ",($L$26-$D$3*$F$12)*((K103/$F$12)-($C$18/(PI()))*SIN((PI()*K103)/$F$12))+$D$3*K103)</f>
        <v> </v>
      </c>
      <c r="M103" s="31" t="str">
        <f t="shared" si="15"/>
        <v> </v>
      </c>
    </row>
    <row r="104" spans="1:13">
      <c r="A104" s="31" t="str">
        <f t="shared" si="8"/>
        <v> </v>
      </c>
      <c r="B104" s="31" t="str">
        <f>IF(A104=" "," ",($B$26-$B$3*($F$9))*((A104/($F$9))-($C$18/(PI()))*SIN((PI()*A104)/($F$9)))+$B$3*A104)</f>
        <v> </v>
      </c>
      <c r="C104" s="31" t="str">
        <f t="shared" si="12"/>
        <v> </v>
      </c>
      <c r="D104" s="31" t="str">
        <f t="shared" si="9"/>
        <v> </v>
      </c>
      <c r="E104" s="31" t="str">
        <f>IF(D104=" "," ",($E$26-$B$3*($F$8))*((D104/($F$8))-($C$18/(PI()))*SIN((PI()*D104)/($F$8)))+$B$3*D104)</f>
        <v> </v>
      </c>
      <c r="F104" s="31" t="str">
        <f t="shared" si="13"/>
        <v> </v>
      </c>
      <c r="G104" s="31"/>
      <c r="H104" s="31">
        <f t="shared" si="10"/>
        <v>76</v>
      </c>
      <c r="I104" s="31">
        <f>IF(H104=" "," ",($I$26-$D$3*$F$13)*((H104/$F$13)-($C$18/(PI()))*SIN((PI()*H104)/$F$13))+$D$3*H104)</f>
        <v>15.0747197854014</v>
      </c>
      <c r="J104" s="31">
        <f t="shared" si="14"/>
        <v>1.00930417749036</v>
      </c>
      <c r="K104" s="31" t="str">
        <f t="shared" si="11"/>
        <v> </v>
      </c>
      <c r="L104" s="31" t="str">
        <f>IF(K104=" "," ",($L$26-$D$3*$F$12)*((K104/$F$12)-($C$18/(PI()))*SIN((PI()*K104)/$F$12))+$D$3*K104)</f>
        <v> </v>
      </c>
      <c r="M104" s="31" t="str">
        <f t="shared" si="15"/>
        <v> </v>
      </c>
    </row>
    <row r="105" spans="1:13">
      <c r="A105" s="31" t="str">
        <f t="shared" si="8"/>
        <v> </v>
      </c>
      <c r="B105" s="31" t="str">
        <f>IF(A105=" "," ",($B$26-$B$3*($F$9))*((A105/($F$9))-($C$18/(PI()))*SIN((PI()*A105)/($F$9)))+$B$3*A105)</f>
        <v> </v>
      </c>
      <c r="C105" s="31" t="str">
        <f t="shared" si="12"/>
        <v> </v>
      </c>
      <c r="D105" s="31" t="str">
        <f t="shared" si="9"/>
        <v> </v>
      </c>
      <c r="E105" s="31" t="str">
        <f>IF(D105=" "," ",($E$26-$B$3*($F$8))*((D105/($F$8))-($C$18/(PI()))*SIN((PI()*D105)/($F$8)))+$B$3*D105)</f>
        <v> </v>
      </c>
      <c r="F105" s="31" t="str">
        <f t="shared" si="13"/>
        <v> </v>
      </c>
      <c r="G105" s="31"/>
      <c r="H105" s="31">
        <f t="shared" si="10"/>
        <v>77</v>
      </c>
      <c r="I105" s="31">
        <f>IF(H105=" "," ",($I$26-$D$3*$F$13)*((H105/$F$13)-($C$18/(PI()))*SIN((PI()*H105)/$F$13))+$D$3*H105)</f>
        <v>15.5247717122135</v>
      </c>
      <c r="J105" s="31">
        <f t="shared" si="14"/>
        <v>1.0086555606214</v>
      </c>
      <c r="K105" s="31" t="str">
        <f t="shared" si="11"/>
        <v> </v>
      </c>
      <c r="L105" s="31" t="str">
        <f>IF(K105=" "," ",($L$26-$D$3*$F$12)*((K105/$F$12)-($C$18/(PI()))*SIN((PI()*K105)/$F$12))+$D$3*K105)</f>
        <v> </v>
      </c>
      <c r="M105" s="31" t="str">
        <f t="shared" si="15"/>
        <v> </v>
      </c>
    </row>
    <row r="106" spans="1:13">
      <c r="A106" s="31" t="str">
        <f t="shared" si="8"/>
        <v> </v>
      </c>
      <c r="B106" s="31" t="str">
        <f>IF(A106=" "," ",($B$26-$B$3*($F$9))*((A106/($F$9))-($C$18/(PI()))*SIN((PI()*A106)/($F$9)))+$B$3*A106)</f>
        <v> </v>
      </c>
      <c r="C106" s="31" t="str">
        <f t="shared" si="12"/>
        <v> </v>
      </c>
      <c r="D106" s="31" t="str">
        <f t="shared" si="9"/>
        <v> </v>
      </c>
      <c r="E106" s="31" t="str">
        <f>IF(D106=" "," ",($E$26-$B$3*($F$8))*((D106/($F$8))-($C$18/(PI()))*SIN((PI()*D106)/($F$8)))+$B$3*D106)</f>
        <v> </v>
      </c>
      <c r="F106" s="31" t="str">
        <f t="shared" si="13"/>
        <v> </v>
      </c>
      <c r="G106" s="31"/>
      <c r="H106" s="31">
        <f t="shared" si="10"/>
        <v>78</v>
      </c>
      <c r="I106" s="31">
        <f>IF(H106=" "," ",($I$26-$D$3*$F$13)*((H106/$F$13)-($C$18/(PI()))*SIN((PI()*H106)/$F$13))+$D$3*H106)</f>
        <v>15.9784298207763</v>
      </c>
      <c r="J106" s="31">
        <f t="shared" si="14"/>
        <v>1.00801281260207</v>
      </c>
      <c r="K106" s="31" t="str">
        <f t="shared" si="11"/>
        <v> </v>
      </c>
      <c r="L106" s="31" t="str">
        <f>IF(K106=" "," ",($L$26-$D$3*$F$12)*((K106/$F$12)-($C$18/(PI()))*SIN((PI()*K106)/$F$12))+$D$3*K106)</f>
        <v> </v>
      </c>
      <c r="M106" s="31" t="str">
        <f t="shared" si="15"/>
        <v> 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>
        <f t="shared" si="10"/>
        <v>79</v>
      </c>
      <c r="I107" s="31">
        <f>IF(H107=" "," ",($I$26-$D$3*$F$13)*((H107/$F$13)-($C$18/(PI()))*SIN((PI()*H107)/$F$13))+$D$3*H107)</f>
        <v>16.4354338755091</v>
      </c>
      <c r="J107" s="31">
        <f t="shared" si="14"/>
        <v>1.00737547969895</v>
      </c>
      <c r="K107" s="31" t="str">
        <f t="shared" si="11"/>
        <v> </v>
      </c>
      <c r="L107" s="31" t="str">
        <f>IF(K107=" "," ",($L$26-$D$3*$F$12)*((K107/$F$12)-($C$18/(PI()))*SIN((PI()*K107)/$F$12))+$D$3*K107)</f>
        <v> </v>
      </c>
      <c r="M107" s="31" t="str">
        <f t="shared" si="15"/>
        <v> 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>
        <f t="shared" si="10"/>
        <v>80</v>
      </c>
      <c r="I108" s="31">
        <f>IF(H108=" "," ",($I$26-$D$3*$F$13)*((H108/$F$13)-($C$18/(PI()))*SIN((PI()*H108)/$F$13))+$D$3*H108)</f>
        <v>16.8955195643111</v>
      </c>
      <c r="J108" s="31">
        <f t="shared" si="14"/>
        <v>1.00674312194224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>
        <f t="shared" si="10"/>
        <v>81</v>
      </c>
      <c r="I109" s="31">
        <f>IF(H109=" "," ",($I$26-$D$3*$F$13)*((H109/$F$13)-($C$18/(PI()))*SIN((PI()*H109)/$F$13))+$D$3*H109)</f>
        <v>17.3584188205851</v>
      </c>
      <c r="J109" s="31">
        <f t="shared" si="14"/>
        <v>1.0061153118657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>
        <f t="shared" si="10"/>
        <v>82</v>
      </c>
      <c r="I110" s="31">
        <f>IF(H110=" "," ",($I$26-$D$3*$F$13)*((H110/$F$13)-($C$18/(PI()))*SIN((PI()*H110)/$F$13))+$D$3*H110)</f>
        <v>17.8238601498352</v>
      </c>
      <c r="J110" s="31">
        <f t="shared" si="14"/>
        <v>1.00549163331266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>
        <f t="shared" si="10"/>
        <v>83</v>
      </c>
      <c r="I111" s="31">
        <f>IF(H111=" "," ",($I$26-$D$3*$F$13)*((H111/$F$13)-($C$18/(PI()))*SIN((PI()*H111)/$F$13))+$D$3*H111)</f>
        <v>18.2915689604413</v>
      </c>
      <c r="J111" s="31">
        <f t="shared" si="14"/>
        <v>1.00487168030332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>
        <f t="shared" si="10"/>
        <v>84</v>
      </c>
      <c r="I112" s="31">
        <f>IF(H112=" "," ",($I$26-$D$3*$F$13)*((H112/$F$13)-($C$18/(PI()))*SIN((PI()*H112)/$F$13))+$D$3*H112)</f>
        <v>18.7612678982067</v>
      </c>
      <c r="J112" s="31">
        <f t="shared" si="14"/>
        <v>1.00425505595368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>
        <f t="shared" si="10"/>
        <v>85</v>
      </c>
      <c r="I113" s="31">
        <f>IF(H113=" "," ",($I$26-$D$3*$F$13)*((H113/$F$13)-($C$18/(PI()))*SIN((PI()*H113)/$F$13))+$D$3*H113)</f>
        <v>19.2326771842709</v>
      </c>
      <c r="J113" s="31">
        <f t="shared" si="14"/>
        <v>1.00364137144322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>
        <f t="shared" si="10"/>
        <v>86</v>
      </c>
      <c r="I114" s="31">
        <f>IF(H114=" "," ",($I$26-$D$3*$F$13)*((H114/$F$13)-($C$18/(PI()))*SIN((PI()*H114)/$F$13))+$D$3*H114)</f>
        <v>19.7055149559778</v>
      </c>
      <c r="J114" s="31">
        <f t="shared" si="14"/>
        <v>1.00303024502256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>
        <f t="shared" si="10"/>
        <v>87</v>
      </c>
      <c r="I115" s="31">
        <f>IF(H115=" "," ",($I$26-$D$3*$F$13)*((H115/$F$13)-($C$18/(PI()))*SIN((PI()*H115)/$F$13))+$D$3*H115)</f>
        <v>20.1794976102814</v>
      </c>
      <c r="J115" s="31">
        <f t="shared" si="14"/>
        <v>1.00242130105769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>
        <f t="shared" si="10"/>
        <v>88</v>
      </c>
      <c r="I116" s="31">
        <f>IF(H116=" "," ",($I$26-$D$3*$F$13)*((H116/$F$13)-($C$18/(PI()))*SIN((PI()*H116)/$F$13))+$D$3*H116)</f>
        <v>20.6543401492728</v>
      </c>
      <c r="J116" s="31">
        <f t="shared" si="14"/>
        <v>1.001814169105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>
        <f t="shared" si="10"/>
        <v>89</v>
      </c>
      <c r="I117" s="31">
        <f>IF(H117=" "," ",($I$26-$D$3*$F$13)*((H117/$F$13)-($C$18/(PI()))*SIN((PI()*H117)/$F$13))+$D$3*H117)</f>
        <v>21.1297565274059</v>
      </c>
      <c r="J117" s="31">
        <f t="shared" si="14"/>
        <v>1.00120848301187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>
        <f t="shared" si="10"/>
        <v>90</v>
      </c>
      <c r="I118" s="31">
        <f>IF(H118=" "," ",($I$26-$D$3*$F$13)*((H118/$F$13)-($C$18/(PI()))*SIN((PI()*H118)/$F$13))+$D$3*H118)</f>
        <v>21.60546</v>
      </c>
      <c r="J118" s="31">
        <f t="shared" si="14"/>
        <v>1.00060388003912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 t="str">
        <f t="shared" si="10"/>
        <v> </v>
      </c>
      <c r="I119" s="31" t="str">
        <f>IF(H119=" "," ",($I$26-$D$3*$F$13)*((H119/$F$13)-($C$18/(PI()))*SIN((PI()*H119)/$F$13))+$D$3*H119)</f>
        <v> </v>
      </c>
      <c r="J119" s="31" t="str">
        <f t="shared" si="14"/>
        <v> 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 t="str">
        <f t="shared" si="10"/>
        <v> </v>
      </c>
      <c r="I120" s="31" t="str">
        <f>IF(H120=" "," ",($I$26-$D$3*$F$13)*((H120/$F$13)-($C$18/(PI()))*SIN((PI()*H120)/$F$13))+$D$3*H120)</f>
        <v> </v>
      </c>
      <c r="J120" s="31" t="str">
        <f t="shared" si="14"/>
        <v> 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 t="str">
        <f t="shared" si="10"/>
        <v> </v>
      </c>
      <c r="I121" s="31" t="str">
        <f>IF(H121=" "," ",($I$26-$D$3*$F$13)*((H121/$F$13)-($C$18/(PI()))*SIN((PI()*H121)/$F$13))+$D$3*H121)</f>
        <v> </v>
      </c>
      <c r="J121" s="31" t="str">
        <f t="shared" si="14"/>
        <v> 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 t="str">
        <f t="shared" si="10"/>
        <v> </v>
      </c>
      <c r="I122" s="31" t="str">
        <f>IF(H122=" "," ",($I$26-$D$3*$F$13)*((H122/$F$13)-($C$18/(PI()))*SIN((PI()*H122)/$F$13))+$D$3*H122)</f>
        <v> </v>
      </c>
      <c r="J122" s="31" t="str">
        <f t="shared" si="14"/>
        <v> 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 t="str">
        <f t="shared" si="10"/>
        <v> </v>
      </c>
      <c r="I123" s="31" t="str">
        <f>IF(H123=" "," ",($I$26-$D$3*$F$13)*((H123/$F$13)-($C$18/(PI()))*SIN((PI()*H123)/$F$13))+$D$3*H123)</f>
        <v> </v>
      </c>
      <c r="J123" s="31" t="str">
        <f t="shared" si="14"/>
        <v> 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 t="str">
        <f t="shared" si="10"/>
        <v> </v>
      </c>
      <c r="I124" s="31" t="str">
        <f>IF(H124=" "," ",($I$26-$D$3*$F$13)*((H124/$F$13)-($C$18/(PI()))*SIN((PI()*H124)/$F$13))+$D$3*H124)</f>
        <v> </v>
      </c>
      <c r="J124" s="31" t="str">
        <f t="shared" si="14"/>
        <v> 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 t="str">
        <f t="shared" si="10"/>
        <v> </v>
      </c>
      <c r="I125" s="31" t="str">
        <f>IF(H125=" "," ",($I$26-$D$3*$F$13)*((H125/$F$13)-($C$18/(PI()))*SIN((PI()*H125)/$F$13))+$D$3*H125)</f>
        <v> </v>
      </c>
      <c r="J125" s="31" t="str">
        <f t="shared" si="14"/>
        <v> 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 t="str">
        <f t="shared" si="10"/>
        <v> </v>
      </c>
      <c r="I126" s="31" t="str">
        <f>IF(H126=" "," ",($I$26-$D$3*$F$13)*((H126/$F$13)-($C$18/(PI()))*SIN((PI()*H126)/$F$13))+$D$3*H126)</f>
        <v> </v>
      </c>
      <c r="J126" s="31" t="str">
        <f t="shared" si="14"/>
        <v> 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N14" sqref="N14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0.00338</v>
      </c>
      <c r="C3" s="7" t="s">
        <v>112</v>
      </c>
      <c r="D3" s="8">
        <v>0.00338</v>
      </c>
      <c r="E3" s="7" t="s">
        <v>113</v>
      </c>
      <c r="F3" s="8">
        <f>D3*9</f>
        <v>0.03042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1.50072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600</v>
      </c>
      <c r="C8" s="11" t="s">
        <v>125</v>
      </c>
      <c r="D8" s="12">
        <f>D7/B3</f>
        <v>444</v>
      </c>
      <c r="E8" s="7" t="s">
        <v>126</v>
      </c>
      <c r="F8" s="34">
        <v>78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78</v>
      </c>
      <c r="C9" s="13"/>
      <c r="D9" s="14"/>
      <c r="E9" s="7" t="s">
        <v>130</v>
      </c>
      <c r="F9" s="34">
        <v>78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2.99468</v>
      </c>
      <c r="E11" s="7"/>
      <c r="J11" s="41" t="s">
        <v>134</v>
      </c>
      <c r="K11" s="42">
        <f>(B3*K9)/K3</f>
        <v>1.07684532598542</v>
      </c>
    </row>
    <row r="12" ht="15.15" spans="1:11">
      <c r="A12" s="11" t="s">
        <v>135</v>
      </c>
      <c r="B12" s="12">
        <f>D12+F13+F12</f>
        <v>1063</v>
      </c>
      <c r="C12" s="15" t="s">
        <v>136</v>
      </c>
      <c r="D12" s="12">
        <f>D11/D3</f>
        <v>886</v>
      </c>
      <c r="E12" s="7" t="s">
        <v>137</v>
      </c>
      <c r="F12" s="34">
        <v>79</v>
      </c>
      <c r="G12" t="s">
        <v>127</v>
      </c>
      <c r="J12" s="43" t="s">
        <v>138</v>
      </c>
      <c r="K12" s="29">
        <f>(1-EXP(-1*K11/25))</f>
        <v>0.0421593136747008</v>
      </c>
    </row>
    <row r="13" ht="15.15" spans="1:7">
      <c r="A13" s="11" t="s">
        <v>139</v>
      </c>
      <c r="B13" s="12">
        <f>F12</f>
        <v>79</v>
      </c>
      <c r="C13" s="13"/>
      <c r="D13" s="14"/>
      <c r="E13" s="7" t="s">
        <v>140</v>
      </c>
      <c r="F13" s="34">
        <v>98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0.000338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100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1.199</v>
      </c>
      <c r="G20" s="35" t="s">
        <v>147</v>
      </c>
      <c r="H20" s="36">
        <f>(B8*B12*B16)/1000000</f>
        <v>63.78</v>
      </c>
      <c r="I20">
        <v>0.54</v>
      </c>
    </row>
    <row r="21" spans="1:8">
      <c r="A21" s="24" t="s">
        <v>148</v>
      </c>
      <c r="B21" s="25"/>
      <c r="C21" s="26">
        <f>ROUND(MAX(C29:C529),3)</f>
        <v>1.199</v>
      </c>
      <c r="G21" s="35"/>
      <c r="H21" s="36"/>
    </row>
    <row r="22" spans="1:7">
      <c r="A22" s="24" t="s">
        <v>149</v>
      </c>
      <c r="B22" s="25"/>
      <c r="C22" s="26">
        <f>ROUND(MAX(M28:M528),3)</f>
        <v>1.196</v>
      </c>
      <c r="G22" s="37"/>
    </row>
    <row r="23" ht="15.15" spans="1:6">
      <c r="A23" s="27" t="s">
        <v>150</v>
      </c>
      <c r="B23" s="28"/>
      <c r="C23" s="29">
        <f>ROUND(MAX(J28:J528),3)</f>
        <v>1.197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11.24964</v>
      </c>
      <c r="D26" s="7" t="s">
        <v>155</v>
      </c>
      <c r="E26" s="9">
        <f>B4-D7*0.5</f>
        <v>11.24964</v>
      </c>
      <c r="H26" s="7" t="s">
        <v>155</v>
      </c>
      <c r="I26" s="9">
        <f>B11-(D4+D11*0.5)</f>
        <v>21.60266</v>
      </c>
      <c r="K26" s="7" t="s">
        <v>155</v>
      </c>
      <c r="L26" s="9">
        <f>D4-D11*0.5</f>
        <v>11.40266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0.00341807755511629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0.00341807755511629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0.00341717444003396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0.00341714908004762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0.00706454632489212</v>
      </c>
      <c r="C30" s="31">
        <f t="shared" ref="C30:C93" si="4">IF(A30=" "," ",(B30-B29)/(B29-B28))</f>
        <v>1.06681861689114</v>
      </c>
      <c r="D30" s="31">
        <f t="shared" si="1"/>
        <v>2</v>
      </c>
      <c r="E30" s="31">
        <f>IF(D30=" "," ",($E$26-$B$3*($F$8))*((D30/($F$8))-($C$18/(PI()))*SIN((PI()*D30)/($F$8)))+$B$3*D30)</f>
        <v>0.00706454632489212</v>
      </c>
      <c r="F30" s="31">
        <f t="shared" ref="F30:F93" si="5">IF(D30=" "," ",(E30-E29)/(E29-E28))</f>
        <v>1.06681861689114</v>
      </c>
      <c r="G30" s="31"/>
      <c r="H30" s="31">
        <f t="shared" si="2"/>
        <v>2</v>
      </c>
      <c r="I30" s="31">
        <f>IF(H30=" "," ",($I$26-$D$3*$F$13)*((H30/$F$13)-($C$18/(PI()))*SIN((PI()*H30)/$F$13))+$D$3*H30)</f>
        <v>0.0070573496804988</v>
      </c>
      <c r="J30" s="31">
        <f t="shared" ref="J30:J93" si="6">IF(H30=" "," ",(I30-I29)/(I29-I28))</f>
        <v>1.06525882841049</v>
      </c>
      <c r="K30" s="31">
        <f t="shared" si="3"/>
        <v>2</v>
      </c>
      <c r="L30" s="31">
        <f>IF(K30=" "," ",($L$26-$D$3*$F$12)*((K30/$F$12)-($C$18/(PI()))*SIN((PI()*K30)/$F$12))+$D$3*K30)</f>
        <v>0.00705712215039093</v>
      </c>
      <c r="M30" s="31">
        <f t="shared" ref="M30:M93" si="7">IF(K30=" "," ",(L30-L29)/(L29-L28))</f>
        <v>1.06520757071932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0.0111674270726018</v>
      </c>
      <c r="C31" s="31">
        <f t="shared" si="4"/>
        <v>1.12516547014385</v>
      </c>
      <c r="D31" s="31">
        <f t="shared" si="1"/>
        <v>3</v>
      </c>
      <c r="E31" s="31">
        <f>IF(D31=" "," ",($E$26-$B$3*($F$8))*((D31/($F$8))-($C$18/(PI()))*SIN((PI()*D31)/($F$8)))+$B$3*D31)</f>
        <v>0.0111674270726018</v>
      </c>
      <c r="F31" s="31">
        <f t="shared" si="5"/>
        <v>1.12516547014385</v>
      </c>
      <c r="G31" s="31"/>
      <c r="H31" s="31">
        <f t="shared" si="2"/>
        <v>3</v>
      </c>
      <c r="I31" s="31">
        <f>IF(H31=" "," ",($I$26-$D$3*$F$13)*((H31/$F$13)-($C$18/(PI()))*SIN((PI()*H31)/$F$13))+$D$3*H31)</f>
        <v>0.0111432973734283</v>
      </c>
      <c r="J31" s="31">
        <f t="shared" si="6"/>
        <v>1.12245906392346</v>
      </c>
      <c r="K31" s="31">
        <f t="shared" si="3"/>
        <v>3</v>
      </c>
      <c r="L31" s="31">
        <f>IF(K31=" "," ",($L$26-$D$3*$F$12)*((K31/$F$12)-($C$18/(PI()))*SIN((PI()*K31)/$F$12))+$D$3*K31)</f>
        <v>0.0111423908707965</v>
      </c>
      <c r="M31" s="31">
        <f t="shared" si="7"/>
        <v>1.12233487486221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0.0159540002596222</v>
      </c>
      <c r="C32" s="31">
        <f t="shared" si="4"/>
        <v>1.16663717064951</v>
      </c>
      <c r="D32" s="31">
        <f t="shared" si="1"/>
        <v>4</v>
      </c>
      <c r="E32" s="31">
        <f>IF(D32=" "," ",($E$26-$B$3*($F$8))*((D32/($F$8))-($C$18/(PI()))*SIN((PI()*D32)/($F$8)))+$B$3*D32)</f>
        <v>0.0159540002596222</v>
      </c>
      <c r="F32" s="31">
        <f t="shared" si="5"/>
        <v>1.16663717064951</v>
      </c>
      <c r="G32" s="31"/>
      <c r="H32" s="31">
        <f t="shared" si="2"/>
        <v>4</v>
      </c>
      <c r="I32" s="31">
        <f>IF(H32=" "," ",($I$26-$D$3*$F$13)*((H32/$F$13)-($C$18/(PI()))*SIN((PI()*H32)/$F$13))+$D$3*H32)</f>
        <v>0.0158973311095276</v>
      </c>
      <c r="J32" s="31">
        <f t="shared" si="6"/>
        <v>1.16350822217471</v>
      </c>
      <c r="K32" s="31">
        <f t="shared" si="3"/>
        <v>4</v>
      </c>
      <c r="L32" s="31">
        <f>IF(K32=" "," ",($L$26-$D$3*$F$12)*((K32/$F$12)-($C$18/(PI()))*SIN((PI()*K32)/$F$12))+$D$3*K32)</f>
        <v>0.0158947227970796</v>
      </c>
      <c r="M32" s="31">
        <f t="shared" si="7"/>
        <v>1.16328502517977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0.0216504373956935</v>
      </c>
      <c r="C33" s="31">
        <f t="shared" si="4"/>
        <v>1.19008670994903</v>
      </c>
      <c r="D33" s="31">
        <f t="shared" si="1"/>
        <v>5</v>
      </c>
      <c r="E33" s="31">
        <f>IF(D33=" "," ",($E$26-$B$3*($F$8))*((D33/($F$8))-($C$18/(PI()))*SIN((PI()*D33)/($F$8)))+$B$3*D33)</f>
        <v>0.0216504373956935</v>
      </c>
      <c r="F33" s="31">
        <f t="shared" si="5"/>
        <v>1.19008670994903</v>
      </c>
      <c r="G33" s="31"/>
      <c r="H33" s="31">
        <f t="shared" si="2"/>
        <v>5</v>
      </c>
      <c r="I33" s="31">
        <f>IF(H33=" "," ",($I$26-$D$3*$F$13)*((H33/$F$13)-($C$18/(PI()))*SIN((PI()*H33)/$F$13))+$D$3*H33)</f>
        <v>0.0215410779759313</v>
      </c>
      <c r="J33" s="31">
        <f t="shared" si="6"/>
        <v>1.18714909899534</v>
      </c>
      <c r="K33" s="31">
        <f t="shared" si="3"/>
        <v>5</v>
      </c>
      <c r="L33" s="31">
        <f>IF(K33=" "," ",($L$26-$D$3*$F$12)*((K33/$F$12)-($C$18/(PI()))*SIN((PI()*K33)/$F$12))+$D$3*K33)</f>
        <v>0.0215348307210154</v>
      </c>
      <c r="M33" s="31">
        <f t="shared" si="7"/>
        <v>1.18680849978993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0.0284814341879039</v>
      </c>
      <c r="C34" s="31">
        <f t="shared" si="4"/>
        <v>1.19917004770485</v>
      </c>
      <c r="D34" s="31">
        <f t="shared" si="1"/>
        <v>6</v>
      </c>
      <c r="E34" s="31">
        <f>IF(D34=" "," ",($E$26-$B$3*($F$8))*((D34/($F$8))-($C$18/(PI()))*SIN((PI()*D34)/($F$8)))+$B$3*D34)</f>
        <v>0.0284814341879039</v>
      </c>
      <c r="F34" s="31">
        <f t="shared" si="5"/>
        <v>1.19917004770485</v>
      </c>
      <c r="G34" s="31"/>
      <c r="H34" s="31">
        <f t="shared" si="2"/>
        <v>6</v>
      </c>
      <c r="I34" s="31">
        <f>IF(H34=" "," ",($I$26-$D$3*$F$13)*((H34/$F$13)-($C$18/(PI()))*SIN((PI()*H34)/$F$13))+$D$3*H34)</f>
        <v>0.0282952508193887</v>
      </c>
      <c r="J34" s="31">
        <f t="shared" si="6"/>
        <v>1.19675332776951</v>
      </c>
      <c r="K34" s="31">
        <f t="shared" si="3"/>
        <v>6</v>
      </c>
      <c r="L34" s="31">
        <f>IF(K34=" "," ",($L$26-$D$3*$F$12)*((K34/$F$12)-($C$18/(PI()))*SIN((PI()*K34)/$F$12))+$D$3*K34)</f>
        <v>0.0282820236780484</v>
      </c>
      <c r="M34" s="31">
        <f t="shared" si="7"/>
        <v>1.19628791647743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0.036669846083429</v>
      </c>
      <c r="C35" s="31">
        <f t="shared" si="4"/>
        <v>1.19871405954438</v>
      </c>
      <c r="D35" s="31">
        <f t="shared" si="1"/>
        <v>7</v>
      </c>
      <c r="E35" s="31">
        <f>IF(D35=" "," ",($E$26-$B$3*($F$8))*((D35/($F$8))-($C$18/(PI()))*SIN((PI()*D35)/($F$8)))+$B$3*D35)</f>
        <v>0.036669846083429</v>
      </c>
      <c r="F35" s="31">
        <f t="shared" si="5"/>
        <v>1.19871405954438</v>
      </c>
      <c r="G35" s="31"/>
      <c r="H35" s="31">
        <f t="shared" si="2"/>
        <v>7</v>
      </c>
      <c r="I35" s="31">
        <f>IF(H35=" "," ",($I$26-$D$3*$F$13)*((H35/$F$13)-($C$18/(PI()))*SIN((PI()*H35)/$F$13))+$D$3*H35)</f>
        <v>0.0363794214488948</v>
      </c>
      <c r="J35" s="31">
        <f t="shared" si="6"/>
        <v>1.19691497639669</v>
      </c>
      <c r="K35" s="31">
        <f t="shared" si="3"/>
        <v>7</v>
      </c>
      <c r="L35" s="31">
        <f>IF(K35=" "," ",($L$26-$D$3*$F$12)*((K35/$F$12)-($C$18/(PI()))*SIN((PI()*K35)/$F$12))+$D$3*K35)</f>
        <v>0.0363538601746296</v>
      </c>
      <c r="M35" s="31">
        <f t="shared" si="7"/>
        <v>1.19632513075935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0.0464363267971843</v>
      </c>
      <c r="C36" s="31">
        <f t="shared" si="4"/>
        <v>1.19271976524442</v>
      </c>
      <c r="D36" s="31">
        <f t="shared" si="1"/>
        <v>8</v>
      </c>
      <c r="E36" s="31">
        <f>IF(D36=" "," ",($E$26-$B$3*($F$8))*((D36/($F$8))-($C$18/(PI()))*SIN((PI()*D36)/($F$8)))+$B$3*D36)</f>
        <v>0.0464363267971843</v>
      </c>
      <c r="F36" s="31">
        <f t="shared" si="5"/>
        <v>1.19271976524442</v>
      </c>
      <c r="G36" s="31"/>
      <c r="H36" s="31">
        <f t="shared" si="2"/>
        <v>8</v>
      </c>
      <c r="I36" s="31">
        <f>IF(H36=" "," ",($I$26-$D$3*$F$13)*((H36/$F$13)-($C$18/(PI()))*SIN((PI()*H36)/$F$13))+$D$3*H36)</f>
        <v>0.0460117950108129</v>
      </c>
      <c r="J36" s="31">
        <f t="shared" si="6"/>
        <v>1.1915104224497</v>
      </c>
      <c r="K36" s="31">
        <f t="shared" si="3"/>
        <v>8</v>
      </c>
      <c r="L36" s="31">
        <f>IF(K36=" "," ",($L$26-$D$3*$F$12)*((K36/$F$12)-($C$18/(PI()))*SIN((PI()*K36)/$F$12))+$D$3*K36)</f>
        <v>0.0459658041834992</v>
      </c>
      <c r="M36" s="31">
        <f t="shared" si="7"/>
        <v>1.19080013735917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0.0579989704106908</v>
      </c>
      <c r="C37" s="31">
        <f t="shared" si="4"/>
        <v>1.18391096571986</v>
      </c>
      <c r="D37" s="31">
        <f t="shared" si="1"/>
        <v>9</v>
      </c>
      <c r="E37" s="31">
        <f>IF(D37=" "," ",($E$26-$B$3*($F$8))*((D37/($F$8))-($C$18/(PI()))*SIN((PI()*D37)/($F$8)))+$B$3*D37)</f>
        <v>0.0579989704106908</v>
      </c>
      <c r="F37" s="31">
        <f t="shared" si="5"/>
        <v>1.18391096571986</v>
      </c>
      <c r="G37" s="31"/>
      <c r="H37" s="31">
        <f t="shared" si="2"/>
        <v>9</v>
      </c>
      <c r="I37" s="31">
        <f>IF(H37=" "," ",($I$26-$D$3*$F$13)*((H37/$F$13)-($C$18/(PI()))*SIN((PI()*H37)/$F$13))+$D$3*H37)</f>
        <v>0.0574089857683375</v>
      </c>
      <c r="J37" s="31">
        <f t="shared" si="6"/>
        <v>1.18321727082758</v>
      </c>
      <c r="K37" s="31">
        <f t="shared" si="3"/>
        <v>9</v>
      </c>
      <c r="L37" s="31">
        <f>IF(K37=" "," ",($L$26-$D$3*$F$12)*((K37/$F$12)-($C$18/(PI()))*SIN((PI()*K37)/$F$12))+$D$3*K37)</f>
        <v>0.0573308844508595</v>
      </c>
      <c r="M37" s="31">
        <f t="shared" si="7"/>
        <v>1.18239143474753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0.0715729576226773</v>
      </c>
      <c r="C38" s="31">
        <f t="shared" si="4"/>
        <v>1.1739518803581</v>
      </c>
      <c r="D38" s="31">
        <f t="shared" si="1"/>
        <v>10</v>
      </c>
      <c r="E38" s="31">
        <f>IF(D38=" "," ",($E$26-$B$3*($F$8))*((D38/($F$8))-($C$18/(PI()))*SIN((PI()*D38)/($F$8)))+$B$3*D38)</f>
        <v>0.0715729576226773</v>
      </c>
      <c r="F38" s="31">
        <f t="shared" si="5"/>
        <v>1.1739518803581</v>
      </c>
      <c r="G38" s="31"/>
      <c r="H38" s="31">
        <f t="shared" si="2"/>
        <v>10</v>
      </c>
      <c r="I38" s="31">
        <f>IF(H38=" "," ",($I$26-$D$3*$F$13)*((H38/$F$13)-($C$18/(PI()))*SIN((PI()*H38)/$F$13))+$D$3*H38)</f>
        <v>0.0707857945156947</v>
      </c>
      <c r="J38" s="31">
        <f t="shared" si="6"/>
        <v>1.17369350324559</v>
      </c>
      <c r="K38" s="31">
        <f t="shared" si="3"/>
        <v>10</v>
      </c>
      <c r="L38" s="31">
        <f>IF(K38=" "," ",($L$26-$D$3*$F$12)*((K38/$F$12)-($C$18/(PI()))*SIN((PI()*K38)/$F$12))+$D$3*K38)</f>
        <v>0.0706593576541378</v>
      </c>
      <c r="M38" s="31">
        <f t="shared" si="7"/>
        <v>1.17275662729429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0.0873702067252025</v>
      </c>
      <c r="C39" s="31">
        <f t="shared" si="4"/>
        <v>1.16378841793629</v>
      </c>
      <c r="D39" s="31">
        <f t="shared" si="1"/>
        <v>11</v>
      </c>
      <c r="E39" s="31">
        <f>IF(D39=" "," ",($E$26-$B$3*($F$8))*((D39/($F$8))-($C$18/(PI()))*SIN((PI()*D39)/($F$8)))+$B$3*D39)</f>
        <v>0.0873702067252025</v>
      </c>
      <c r="F39" s="31">
        <f t="shared" si="5"/>
        <v>1.16378841793629</v>
      </c>
      <c r="G39" s="31"/>
      <c r="H39" s="31">
        <f t="shared" si="2"/>
        <v>11</v>
      </c>
      <c r="I39" s="31">
        <f>IF(H39=" "," ",($I$26-$D$3*$F$13)*((H39/$F$13)-($C$18/(PI()))*SIN((PI()*H39)/$F$13))+$D$3*H39)</f>
        <v>0.0863549878558078</v>
      </c>
      <c r="J39" s="31">
        <f t="shared" si="6"/>
        <v>1.1638944410556</v>
      </c>
      <c r="K39" s="31">
        <f t="shared" si="3"/>
        <v>11</v>
      </c>
      <c r="L39" s="31">
        <f>IF(K39=" "," ",($L$26-$D$3*$F$12)*((K39/$F$12)-($C$18/(PI()))*SIN((PI()*K39)/$F$12))+$D$3*K39)</f>
        <v>0.0861583759429644</v>
      </c>
      <c r="M39" s="31">
        <f t="shared" si="7"/>
        <v>1.16285024191776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0.105599029871406</v>
      </c>
      <c r="C40" s="31">
        <f t="shared" si="4"/>
        <v>1.15392389066584</v>
      </c>
      <c r="D40" s="31">
        <f t="shared" si="1"/>
        <v>12</v>
      </c>
      <c r="E40" s="31">
        <f>IF(D40=" "," ",($E$26-$B$3*($F$8))*((D40/($F$8))-($C$18/(PI()))*SIN((PI()*D40)/($F$8)))+$B$3*D40)</f>
        <v>0.105599029871406</v>
      </c>
      <c r="F40" s="31">
        <f t="shared" si="5"/>
        <v>1.15392389066584</v>
      </c>
      <c r="G40" s="31"/>
      <c r="H40" s="31">
        <f t="shared" si="2"/>
        <v>12</v>
      </c>
      <c r="I40" s="31">
        <f>IF(H40=" "," ",($I$26-$D$3*$F$13)*((H40/$F$13)-($C$18/(PI()))*SIN((PI()*H40)/$F$13))+$D$3*H40)</f>
        <v>0.104327079568227</v>
      </c>
      <c r="J40" s="31">
        <f t="shared" si="6"/>
        <v>1.15433672893733</v>
      </c>
      <c r="K40" s="31">
        <f t="shared" si="3"/>
        <v>12</v>
      </c>
      <c r="L40" s="31">
        <f>IF(K40=" "," ",($L$26-$D$3*$F$12)*((K40/$F$12)-($C$18/(PI()))*SIN((PI()*K40)/$F$12))+$D$3*K40)</f>
        <v>0.104031659389042</v>
      </c>
      <c r="M40" s="31">
        <f t="shared" si="7"/>
        <v>1.15318809959487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0.126463795192438</v>
      </c>
      <c r="C41" s="31">
        <f t="shared" si="4"/>
        <v>1.14460298142601</v>
      </c>
      <c r="D41" s="31">
        <f t="shared" si="1"/>
        <v>13</v>
      </c>
      <c r="E41" s="31">
        <f>IF(D41=" "," ",($E$26-$B$3*($F$8))*((D41/($F$8))-($C$18/(PI()))*SIN((PI()*D41)/($F$8)))+$B$3*D41)</f>
        <v>0.126463795192438</v>
      </c>
      <c r="F41" s="31">
        <f t="shared" si="5"/>
        <v>1.14460298142601</v>
      </c>
      <c r="G41" s="31"/>
      <c r="H41" s="31">
        <f t="shared" si="2"/>
        <v>13</v>
      </c>
      <c r="I41" s="31">
        <f>IF(H41=" "," ",($I$26-$D$3*$F$13)*((H41/$F$13)-($C$18/(PI()))*SIN((PI()*H41)/$F$13))+$D$3*H41)</f>
        <v>0.124910114291993</v>
      </c>
      <c r="J41" s="31">
        <f t="shared" si="6"/>
        <v>1.14527763674515</v>
      </c>
      <c r="K41" s="31">
        <f t="shared" si="3"/>
        <v>13</v>
      </c>
      <c r="L41" s="31">
        <f>IF(K41=" "," ",($L$26-$D$3*$F$12)*((K41/$F$12)-($C$18/(PI()))*SIN((PI()*K41)/$F$12))+$D$3*K41)</f>
        <v>0.124479173862843</v>
      </c>
      <c r="M41" s="31">
        <f t="shared" si="7"/>
        <v>1.14402675565959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0.150164595311602</v>
      </c>
      <c r="C42" s="31">
        <f t="shared" si="4"/>
        <v>1.13592459605926</v>
      </c>
      <c r="D42" s="31">
        <f t="shared" si="1"/>
        <v>14</v>
      </c>
      <c r="E42" s="31">
        <f>IF(D42=" "," ",($E$26-$B$3*($F$8))*((D42/($F$8))-($C$18/(PI()))*SIN((PI()*D42)/($F$8)))+$B$3*D42)</f>
        <v>0.150164595311602</v>
      </c>
      <c r="F42" s="31">
        <f t="shared" si="5"/>
        <v>1.13592459605926</v>
      </c>
      <c r="G42" s="31"/>
      <c r="H42" s="31">
        <f t="shared" si="2"/>
        <v>14</v>
      </c>
      <c r="I42" s="31">
        <f>IF(H42=" "," ",($I$26-$D$3*$F$13)*((H42/$F$13)-($C$18/(PI()))*SIN((PI()*H42)/$F$13))+$D$3*H42)</f>
        <v>0.148309453745708</v>
      </c>
      <c r="J42" s="31">
        <f t="shared" si="6"/>
        <v>1.13682650628272</v>
      </c>
      <c r="K42" s="31">
        <f t="shared" si="3"/>
        <v>14</v>
      </c>
      <c r="L42" s="31">
        <f>IF(K42=" "," ",($L$26-$D$3*$F$12)*((K42/$F$12)-($C$18/(PI()))*SIN((PI()*K42)/$F$12))+$D$3*K42)</f>
        <v>0.147696814846463</v>
      </c>
      <c r="M42" s="31">
        <f t="shared" si="7"/>
        <v>1.13547497488599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0.176896922793387</v>
      </c>
      <c r="C43" s="31">
        <f t="shared" si="4"/>
        <v>1.12790822872558</v>
      </c>
      <c r="D43" s="31">
        <f t="shared" si="1"/>
        <v>15</v>
      </c>
      <c r="E43" s="31">
        <f>IF(D43=" "," ",($E$26-$B$3*($F$8))*((D43/($F$8))-($C$18/(PI()))*SIN((PI()*D43)/($F$8)))+$B$3*D43)</f>
        <v>0.176896922793387</v>
      </c>
      <c r="F43" s="31">
        <f t="shared" si="5"/>
        <v>1.12790822872558</v>
      </c>
      <c r="G43" s="31"/>
      <c r="H43" s="31">
        <f t="shared" si="2"/>
        <v>15</v>
      </c>
      <c r="I43" s="31">
        <f>IF(H43=" "," ",($I$26-$D$3*$F$13)*((H43/$F$13)-($C$18/(PI()))*SIN((PI()*H43)/$F$13))+$D$3*H43)</f>
        <v>0.174727565704484</v>
      </c>
      <c r="J43" s="31">
        <f t="shared" si="6"/>
        <v>1.12901101379516</v>
      </c>
      <c r="K43" s="31">
        <f t="shared" si="3"/>
        <v>15</v>
      </c>
      <c r="L43" s="31">
        <f>IF(K43=" "," ",($L$26-$D$3*$F$12)*((K43/$F$12)-($C$18/(PI()))*SIN((PI()*K43)/$F$12))+$D$3*K43)</f>
        <v>0.173876097682597</v>
      </c>
      <c r="M43" s="31">
        <f t="shared" si="7"/>
        <v>1.12755998142118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0.206851353053815</v>
      </c>
      <c r="C44" s="31">
        <f t="shared" si="4"/>
        <v>1.12053207042439</v>
      </c>
      <c r="D44" s="31">
        <f t="shared" si="1"/>
        <v>16</v>
      </c>
      <c r="E44" s="31">
        <f>IF(D44=" "," ",($E$26-$B$3*($F$8))*((D44/($F$8))-($C$18/(PI()))*SIN((PI()*D44)/($F$8)))+$B$3*D44)</f>
        <v>0.206851353053815</v>
      </c>
      <c r="F44" s="31">
        <f t="shared" si="5"/>
        <v>1.12053207042439</v>
      </c>
      <c r="G44" s="31"/>
      <c r="H44" s="31">
        <f t="shared" si="2"/>
        <v>16</v>
      </c>
      <c r="I44" s="31">
        <f>IF(H44=" "," ",($I$26-$D$3*$F$13)*((H44/$F$13)-($C$18/(PI()))*SIN((PI()*H44)/$F$13))+$D$3*H44)</f>
        <v>0.204363815950619</v>
      </c>
      <c r="J44" s="31">
        <f t="shared" si="6"/>
        <v>1.12181560485402</v>
      </c>
      <c r="K44" s="31">
        <f t="shared" si="3"/>
        <v>16</v>
      </c>
      <c r="L44" s="31">
        <f>IF(K44=" "," ",($L$26-$D$3*$F$12)*((K44/$F$12)-($C$18/(PI()))*SIN((PI()*K44)/$F$12))+$D$3*K44)</f>
        <v>0.20320385474942</v>
      </c>
      <c r="M44" s="31">
        <f t="shared" si="7"/>
        <v>1.12026587016901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0.240213235246418</v>
      </c>
      <c r="C45" s="31">
        <f t="shared" si="4"/>
        <v>1.11375452320575</v>
      </c>
      <c r="D45" s="31">
        <f t="shared" si="1"/>
        <v>17</v>
      </c>
      <c r="E45" s="31">
        <f>IF(D45=" "," ",($E$26-$B$3*($F$8))*((D45/($F$8))-($C$18/(PI()))*SIN((PI()*D45)/($F$8)))+$B$3*D45)</f>
        <v>0.240213235246418</v>
      </c>
      <c r="F45" s="31">
        <f t="shared" si="5"/>
        <v>1.11375452320575</v>
      </c>
      <c r="G45" s="31"/>
      <c r="H45" s="31">
        <f t="shared" si="2"/>
        <v>17</v>
      </c>
      <c r="I45" s="31">
        <f>IF(H45=" "," ",($I$26-$D$3*$F$13)*((H45/$F$13)-($C$18/(PI()))*SIN((PI()*H45)/$F$13))+$D$3*H45)</f>
        <v>0.23741426341178</v>
      </c>
      <c r="J45" s="31">
        <f t="shared" si="6"/>
        <v>1.11520341428722</v>
      </c>
      <c r="K45" s="31">
        <f t="shared" si="3"/>
        <v>17</v>
      </c>
      <c r="L45" s="31">
        <f>IF(K45=" "," ",($L$26-$D$3*$F$12)*((K45/$F$12)-($C$18/(PI()))*SIN((PI()*K45)/$F$12))+$D$3*K45)</f>
        <v>0.235861940040195</v>
      </c>
      <c r="M45" s="31">
        <f t="shared" si="7"/>
        <v>1.1135555036263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0.277162391625234</v>
      </c>
      <c r="C46" s="31">
        <f t="shared" si="4"/>
        <v>1.1075261331331</v>
      </c>
      <c r="D46" s="31">
        <f t="shared" si="1"/>
        <v>18</v>
      </c>
      <c r="E46" s="31">
        <f>IF(D46=" "," ",($E$26-$B$3*($F$8))*((D46/($F$8))-($C$18/(PI()))*SIN((PI()*D46)/($F$8)))+$B$3*D46)</f>
        <v>0.277162391625234</v>
      </c>
      <c r="F46" s="31">
        <f t="shared" si="5"/>
        <v>1.1075261331331</v>
      </c>
      <c r="G46" s="31"/>
      <c r="H46" s="31">
        <f t="shared" si="2"/>
        <v>18</v>
      </c>
      <c r="I46" s="31">
        <f>IF(H46=" "," ",($I$26-$D$3*$F$13)*((H46/$F$13)-($C$18/(PI()))*SIN((PI()*H46)/$F$13))+$D$3*H46)</f>
        <v>0.2740714586972</v>
      </c>
      <c r="J46" s="31">
        <f t="shared" si="6"/>
        <v>1.10912856258598</v>
      </c>
      <c r="K46" s="31">
        <f t="shared" si="3"/>
        <v>18</v>
      </c>
      <c r="L46" s="31">
        <f>IF(K46=" "," ",($L$26-$D$3*$F$12)*((K46/$F$12)-($C$18/(PI()))*SIN((PI()*K46)/$F$12))+$D$3*K46)</f>
        <v>0.272026941614729</v>
      </c>
      <c r="M46" s="31">
        <f t="shared" si="7"/>
        <v>1.10738278905621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0.31787282587245</v>
      </c>
      <c r="C47" s="31">
        <f t="shared" si="4"/>
        <v>1.10179604183215</v>
      </c>
      <c r="D47" s="31">
        <f t="shared" si="1"/>
        <v>19</v>
      </c>
      <c r="E47" s="31">
        <f>IF(D47=" "," ",($E$26-$B$3*($F$8))*((D47/($F$8))-($C$18/(PI()))*SIN((PI()*D47)/($F$8)))+$B$3*D47)</f>
        <v>0.31787282587245</v>
      </c>
      <c r="F47" s="31">
        <f t="shared" si="5"/>
        <v>1.10179604183215</v>
      </c>
      <c r="G47" s="31"/>
      <c r="H47" s="31">
        <f t="shared" si="2"/>
        <v>19</v>
      </c>
      <c r="I47" s="31">
        <f>IF(H47=" "," ",($I$26-$D$3*$F$13)*((H47/$F$13)-($C$18/(PI()))*SIN((PI()*H47)/$F$13))+$D$3*H47)</f>
        <v>0.314524246238912</v>
      </c>
      <c r="J47" s="31">
        <f t="shared" si="6"/>
        <v>1.10354289865164</v>
      </c>
      <c r="K47" s="31">
        <f t="shared" si="3"/>
        <v>19</v>
      </c>
      <c r="L47" s="31">
        <f>IF(K47=" "," ",($L$26-$D$3*$F$12)*((K47/$F$12)-($C$18/(PI()))*SIN((PI()*K47)/$F$12))+$D$3*K47)</f>
        <v>0.311869902377354</v>
      </c>
      <c r="M47" s="31">
        <f t="shared" si="7"/>
        <v>1.10169940627571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0.362512440863799</v>
      </c>
      <c r="C48" s="31">
        <f t="shared" si="4"/>
        <v>1.0965153238178</v>
      </c>
      <c r="D48" s="31">
        <f t="shared" si="1"/>
        <v>20</v>
      </c>
      <c r="E48" s="31">
        <f>IF(D48=" "," ",($E$26-$B$3*($F$8))*((D48/($F$8))-($C$18/(PI()))*SIN((PI()*D48)/($F$8)))+$B$3*D48)</f>
        <v>0.362512440863799</v>
      </c>
      <c r="F48" s="31">
        <f t="shared" si="5"/>
        <v>1.0965153238178</v>
      </c>
      <c r="G48" s="31"/>
      <c r="H48" s="31">
        <f t="shared" si="2"/>
        <v>20</v>
      </c>
      <c r="I48" s="31">
        <f>IF(H48=" "," ",($I$26-$D$3*$F$13)*((H48/$F$13)-($C$18/(PI()))*SIN((PI()*H48)/$F$13))+$D$3*H48)</f>
        <v>0.358957570241327</v>
      </c>
      <c r="J48" s="31">
        <f t="shared" si="6"/>
        <v>1.09839955915518</v>
      </c>
      <c r="K48" s="31">
        <f t="shared" si="3"/>
        <v>20</v>
      </c>
      <c r="L48" s="31">
        <f>IF(K48=" "," ",($L$26-$D$3*$F$12)*((K48/$F$12)-($C$18/(PI()))*SIN((PI()*K48)/$F$12))+$D$3*K48)</f>
        <v>0.355556049622936</v>
      </c>
      <c r="M48" s="31">
        <f t="shared" si="7"/>
        <v>1.09645835573954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0.411242766329479</v>
      </c>
      <c r="C49" s="31">
        <f t="shared" si="4"/>
        <v>1.09163856980225</v>
      </c>
      <c r="D49" s="31">
        <f t="shared" si="1"/>
        <v>21</v>
      </c>
      <c r="E49" s="31">
        <f>IF(D49=" "," ",($E$26-$B$3*($F$8))*((D49/($F$8))-($C$18/(PI()))*SIN((PI()*D49)/($F$8)))+$B$3*D49)</f>
        <v>0.411242766329479</v>
      </c>
      <c r="F49" s="31">
        <f t="shared" si="5"/>
        <v>1.09163856980225</v>
      </c>
      <c r="G49" s="31"/>
      <c r="H49" s="31">
        <f t="shared" si="2"/>
        <v>21</v>
      </c>
      <c r="I49" s="31">
        <f>IF(H49=" "," ",($I$26-$D$3*$F$13)*((H49/$F$13)-($C$18/(PI()))*SIN((PI()*H49)/$F$13))+$D$3*H49)</f>
        <v>0.407552284638567</v>
      </c>
      <c r="J49" s="31">
        <f t="shared" si="6"/>
        <v>1.09365471722527</v>
      </c>
      <c r="K49" s="31">
        <f t="shared" si="3"/>
        <v>21</v>
      </c>
      <c r="L49" s="31">
        <f>IF(K49=" "," ",($L$26-$D$3*$F$12)*((K49/$F$12)-($C$18/(PI()))*SIN((PI()*K49)/$F$12))+$D$3*K49)</f>
        <v>0.403244533778565</v>
      </c>
      <c r="M49" s="31">
        <f t="shared" si="7"/>
        <v>1.09161569885179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0.464218696852337</v>
      </c>
      <c r="C50" s="31">
        <f t="shared" si="4"/>
        <v>1.08712449622706</v>
      </c>
      <c r="D50" s="31">
        <f t="shared" si="1"/>
        <v>22</v>
      </c>
      <c r="E50" s="31">
        <f>IF(D50=" "," ",($E$26-$B$3*($F$8))*((D50/($F$8))-($C$18/(PI()))*SIN((PI()*D50)/($F$8)))+$B$3*D50)</f>
        <v>0.464218696852337</v>
      </c>
      <c r="F50" s="31">
        <f t="shared" si="5"/>
        <v>1.08712449622706</v>
      </c>
      <c r="G50" s="31"/>
      <c r="H50" s="31">
        <f t="shared" si="2"/>
        <v>22</v>
      </c>
      <c r="I50" s="31">
        <f>IF(H50=" "," ",($I$26-$D$3*$F$13)*((H50/$F$13)-($C$18/(PI()))*SIN((PI()*H50)/$F$13))+$D$3*H50)</f>
        <v>0.460484967254817</v>
      </c>
      <c r="J50" s="31">
        <f t="shared" si="6"/>
        <v>1.0892683139065</v>
      </c>
      <c r="K50" s="31">
        <f t="shared" si="3"/>
        <v>22</v>
      </c>
      <c r="L50" s="31">
        <f>IF(K50=" "," ",($L$26-$D$3*$F$12)*((K50/$F$12)-($C$18/(PI()))*SIN((PI()*K50)/$F$12))+$D$3*K50)</f>
        <v>0.455088176754013</v>
      </c>
      <c r="M50" s="31">
        <f t="shared" si="7"/>
        <v>1.08713128323096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0.521588240628292</v>
      </c>
      <c r="C51" s="31">
        <f t="shared" si="4"/>
        <v>1.08293602792313</v>
      </c>
      <c r="D51" s="31">
        <f t="shared" si="1"/>
        <v>23</v>
      </c>
      <c r="E51" s="31">
        <f>IF(D51=" "," ",($E$26-$B$3*($F$8))*((D51/($F$8))-($C$18/(PI()))*SIN((PI()*D51)/($F$8)))+$B$3*D51)</f>
        <v>0.521588240628292</v>
      </c>
      <c r="F51" s="31">
        <f t="shared" si="5"/>
        <v>1.08293602792313</v>
      </c>
      <c r="G51" s="31"/>
      <c r="H51" s="31">
        <f t="shared" si="2"/>
        <v>23</v>
      </c>
      <c r="I51" s="31">
        <f>IF(H51=" "," ",($I$26-$D$3*$F$13)*((H51/$F$13)-($C$18/(PI()))*SIN((PI()*H51)/$F$13))+$D$3*H51)</f>
        <v>0.517927738358674</v>
      </c>
      <c r="J51" s="31">
        <f t="shared" si="6"/>
        <v>1.08520423044313</v>
      </c>
      <c r="K51" s="31">
        <f t="shared" si="3"/>
        <v>23</v>
      </c>
      <c r="L51" s="31">
        <f>IF(K51=" "," ",($L$26-$D$3*$F$12)*((K51/$F$12)-($C$18/(PI()))*SIN((PI()*K51)/$F$12))+$D$3*K51)</f>
        <v>0.511233230298884</v>
      </c>
      <c r="M51" s="31">
        <f t="shared" si="7"/>
        <v>1.08296891041124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0.5834922793965</v>
      </c>
      <c r="C52" s="31">
        <f t="shared" si="4"/>
        <v>1.0790401089812</v>
      </c>
      <c r="D52" s="31">
        <f t="shared" si="1"/>
        <v>24</v>
      </c>
      <c r="E52" s="31">
        <f>IF(D52=" "," ",($E$26-$B$3*($F$8))*((D52/($F$8))-($C$18/(PI()))*SIN((PI()*D52)/($F$8)))+$B$3*D52)</f>
        <v>0.5834922793965</v>
      </c>
      <c r="F52" s="31">
        <f t="shared" si="5"/>
        <v>1.0790401089812</v>
      </c>
      <c r="G52" s="31"/>
      <c r="H52" s="31">
        <f t="shared" si="2"/>
        <v>24</v>
      </c>
      <c r="I52" s="31">
        <f>IF(H52=" "," ",($I$26-$D$3*$F$13)*((H52/$F$13)-($C$18/(PI()))*SIN((PI()*H52)/$F$13))+$D$3*H52)</f>
        <v>0.580048083797943</v>
      </c>
      <c r="J52" s="31">
        <f t="shared" si="6"/>
        <v>1.08143016511085</v>
      </c>
      <c r="K52" s="31">
        <f t="shared" si="3"/>
        <v>24</v>
      </c>
      <c r="L52" s="31">
        <f>IF(K52=" "," ",($L$26-$D$3*$F$12)*((K52/$F$12)-($C$18/(PI()))*SIN((PI()*K52)/$F$12))+$D$3*K52)</f>
        <v>0.571819144748536</v>
      </c>
      <c r="M52" s="31">
        <f t="shared" si="7"/>
        <v>1.07909620927217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0.65006433992866</v>
      </c>
      <c r="C53" s="31">
        <f t="shared" si="4"/>
        <v>1.07540738628429</v>
      </c>
      <c r="D53" s="31">
        <f t="shared" si="1"/>
        <v>25</v>
      </c>
      <c r="E53" s="31">
        <f>IF(D53=" "," ",($E$26-$B$3*($F$8))*((D53/($F$8))-($C$18/(PI()))*SIN((PI()*D53)/($F$8)))+$B$3*D53)</f>
        <v>0.65006433992866</v>
      </c>
      <c r="F53" s="31">
        <f t="shared" si="5"/>
        <v>1.07540738628429</v>
      </c>
      <c r="G53" s="31"/>
      <c r="H53" s="31">
        <f t="shared" si="2"/>
        <v>25</v>
      </c>
      <c r="I53" s="31">
        <f>IF(H53=" "," ",($I$26-$D$3*$F$13)*((H53/$F$13)-($C$18/(PI()))*SIN((PI()*H53)/$F$13))+$D$3*H53)</f>
        <v>0.6470086828966</v>
      </c>
      <c r="J53" s="31">
        <f t="shared" si="6"/>
        <v>1.07791736548083</v>
      </c>
      <c r="K53" s="31">
        <f t="shared" si="3"/>
        <v>25</v>
      </c>
      <c r="L53" s="31">
        <f>IF(K53=" "," ",($L$26-$D$3*$F$12)*((K53/$F$12)-($C$18/(PI()))*SIN((PI()*K53)/$F$12))+$D$3*K53)</f>
        <v>0.63697834852444</v>
      </c>
      <c r="M53" s="31">
        <f t="shared" si="7"/>
        <v>1.07548436576048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0.721430377448096</v>
      </c>
      <c r="C54" s="31">
        <f t="shared" si="4"/>
        <v>1.07201184624532</v>
      </c>
      <c r="D54" s="31">
        <f t="shared" si="1"/>
        <v>26</v>
      </c>
      <c r="E54" s="31">
        <f>IF(D54=" "," ",($E$26-$B$3*($F$8))*((D54/($F$8))-($C$18/(PI()))*SIN((PI()*D54)/($F$8)))+$B$3*D54)</f>
        <v>0.721430377448096</v>
      </c>
      <c r="F54" s="31">
        <f t="shared" si="5"/>
        <v>1.07201184624532</v>
      </c>
      <c r="G54" s="31"/>
      <c r="H54" s="31">
        <f t="shared" si="2"/>
        <v>26</v>
      </c>
      <c r="I54" s="31">
        <f>IF(H54=" "," ",($I$26-$D$3*$F$13)*((H54/$F$13)-($C$18/(PI()))*SIN((PI()*H54)/$F$13))+$D$3*H54)</f>
        <v>0.71896724129079</v>
      </c>
      <c r="J54" s="31">
        <f t="shared" si="6"/>
        <v>1.07464030135349</v>
      </c>
      <c r="K54" s="31">
        <f t="shared" si="3"/>
        <v>26</v>
      </c>
      <c r="L54" s="31">
        <f>IF(K54=" "," ",($L$26-$D$3*$F$12)*((K54/$F$12)-($C$18/(PI()))*SIN((PI()*K54)/$F$12))+$D$3*K54)</f>
        <v>0.706836038737622</v>
      </c>
      <c r="M54" s="31">
        <f t="shared" si="7"/>
        <v>1.07210779391101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0.79770857132993</v>
      </c>
      <c r="C55" s="31">
        <f t="shared" si="4"/>
        <v>1.06883044839165</v>
      </c>
      <c r="D55" s="31">
        <f t="shared" si="1"/>
        <v>27</v>
      </c>
      <c r="E55" s="31">
        <f>IF(D55=" "," ",($E$26-$B$3*($F$8))*((D55/($F$8))-($C$18/(PI()))*SIN((PI()*D55)/($F$8)))+$B$3*D55)</f>
        <v>0.79770857132993</v>
      </c>
      <c r="F55" s="31">
        <f t="shared" si="5"/>
        <v>1.06883044839165</v>
      </c>
      <c r="G55" s="31"/>
      <c r="H55" s="31">
        <f t="shared" si="2"/>
        <v>27</v>
      </c>
      <c r="I55" s="31">
        <f>IF(H55=" "," ",($I$26-$D$3*$F$13)*((H55/$F$13)-($C$18/(PI()))*SIN((PI()*H55)/$F$13))+$D$3*H55)</f>
        <v>0.796076328875627</v>
      </c>
      <c r="J55" s="31">
        <f t="shared" si="6"/>
        <v>1.07157632539596</v>
      </c>
      <c r="K55" s="31">
        <f t="shared" si="3"/>
        <v>27</v>
      </c>
      <c r="L55" s="31">
        <f>IF(K55=" "," ",($L$26-$D$3*$F$12)*((K55/$F$12)-($C$18/(PI()))*SIN((PI()*K55)/$F$12))+$D$3*K55)</f>
        <v>0.781509983226299</v>
      </c>
      <c r="M55" s="31">
        <f t="shared" si="7"/>
        <v>1.06894379503241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0.8790091334137</v>
      </c>
      <c r="C56" s="31">
        <f t="shared" si="4"/>
        <v>1.06584277820889</v>
      </c>
      <c r="D56" s="31">
        <f t="shared" si="1"/>
        <v>28</v>
      </c>
      <c r="E56" s="31">
        <f>IF(D56=" "," ",($E$26-$B$3*($F$8))*((D56/($F$8))-($C$18/(PI()))*SIN((PI()*D56)/($F$8)))+$B$3*D56)</f>
        <v>0.8790091334137</v>
      </c>
      <c r="F56" s="31">
        <f t="shared" si="5"/>
        <v>1.06584277820889</v>
      </c>
      <c r="G56" s="31"/>
      <c r="H56" s="31">
        <f t="shared" si="2"/>
        <v>28</v>
      </c>
      <c r="I56" s="31">
        <f>IF(H56=" "," ",($I$26-$D$3*$F$13)*((H56/$F$13)-($C$18/(PI()))*SIN((PI()*H56)/$F$13))+$D$3*H56)</f>
        <v>0.878483223029315</v>
      </c>
      <c r="J56" s="31">
        <f t="shared" si="6"/>
        <v>1.06870534634484</v>
      </c>
      <c r="K56" s="31">
        <f t="shared" si="3"/>
        <v>28</v>
      </c>
      <c r="L56" s="31">
        <f>IF(K56=" "," ",($L$26-$D$3*$F$12)*((K56/$F$12)-($C$18/(PI()))*SIN((PI()*K56)/$F$12))+$D$3*K56)</f>
        <v>0.861110334340719</v>
      </c>
      <c r="M56" s="31">
        <f t="shared" si="7"/>
        <v>1.06597222979817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0.965434129239354</v>
      </c>
      <c r="C57" s="31">
        <f t="shared" si="4"/>
        <v>1.06303072956131</v>
      </c>
      <c r="D57" s="31">
        <f t="shared" si="1"/>
        <v>29</v>
      </c>
      <c r="E57" s="31">
        <f>IF(D57=" "," ",($E$26-$B$3*($F$8))*((D57/($F$8))-($C$18/(PI()))*SIN((PI()*D57)/($F$8)))+$B$3*D57)</f>
        <v>0.965434129239354</v>
      </c>
      <c r="F57" s="31">
        <f t="shared" si="5"/>
        <v>1.06303072956131</v>
      </c>
      <c r="G57" s="31"/>
      <c r="H57" s="31">
        <f t="shared" si="2"/>
        <v>29</v>
      </c>
      <c r="I57" s="31">
        <f>IF(H57=" "," ",($I$26-$D$3*$F$13)*((H57/$F$13)-($C$18/(PI()))*SIN((PI()*H57)/$F$13))+$D$3*H57)</f>
        <v>0.966329757275683</v>
      </c>
      <c r="J57" s="31">
        <f t="shared" si="6"/>
        <v>1.06600952685506</v>
      </c>
      <c r="K57" s="31">
        <f t="shared" si="3"/>
        <v>29</v>
      </c>
      <c r="L57" s="31">
        <f>IF(K57=" "," ",($L$26-$D$3*$F$12)*((K57/$F$12)-($C$18/(PI()))*SIN((PI()*K57)/$F$12))+$D$3*K57)</f>
        <v>0.945739454769654</v>
      </c>
      <c r="M57" s="31">
        <f t="shared" si="7"/>
        <v>1.063175215236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1.05707731249657</v>
      </c>
      <c r="C58" s="31">
        <f t="shared" si="4"/>
        <v>1.06037822023263</v>
      </c>
      <c r="D58" s="31">
        <f t="shared" si="1"/>
        <v>30</v>
      </c>
      <c r="E58" s="31">
        <f>IF(D58=" "," ",($E$26-$B$3*($F$8))*((D58/($F$8))-($C$18/(PI()))*SIN((PI()*D58)/($F$8)))+$B$3*D58)</f>
        <v>1.05707731249657</v>
      </c>
      <c r="F58" s="31">
        <f t="shared" si="5"/>
        <v>1.06037822023263</v>
      </c>
      <c r="G58" s="31"/>
      <c r="H58" s="31">
        <f t="shared" si="2"/>
        <v>30</v>
      </c>
      <c r="I58" s="31">
        <f>IF(H58=" "," ",($I$26-$D$3*$F$13)*((H58/$F$13)-($C$18/(PI()))*SIN((PI()*H58)/$F$13))+$D$3*H58)</f>
        <v>1.05975217554065</v>
      </c>
      <c r="J58" s="31">
        <f t="shared" si="6"/>
        <v>1.06347301081863</v>
      </c>
      <c r="K58" s="31">
        <f t="shared" si="3"/>
        <v>30</v>
      </c>
      <c r="L58" s="31">
        <f>IF(K58=" "," ",($L$26-$D$3*$F$12)*((K58/$F$12)-($C$18/(PI()))*SIN((PI()*K58)/$F$12))+$D$3*K58)</f>
        <v>1.03549175568395</v>
      </c>
      <c r="M58" s="31">
        <f t="shared" si="7"/>
        <v>1.06053685137453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1.15402397295594</v>
      </c>
      <c r="C59" s="31">
        <f t="shared" si="4"/>
        <v>1.05787094046332</v>
      </c>
      <c r="D59" s="31">
        <f t="shared" si="1"/>
        <v>31</v>
      </c>
      <c r="E59" s="31">
        <f>IF(D59=" "," ",($E$26-$B$3*($F$8))*((D59/($F$8))-($C$18/(PI()))*SIN((PI()*D59)/($F$8)))+$B$3*D59)</f>
        <v>1.15402397295594</v>
      </c>
      <c r="F59" s="31">
        <f t="shared" si="5"/>
        <v>1.05787094046332</v>
      </c>
      <c r="G59" s="31"/>
      <c r="H59" s="31">
        <f t="shared" si="2"/>
        <v>31</v>
      </c>
      <c r="I59" s="31">
        <f>IF(H59=" "," ",($I$26-$D$3*$F$13)*((H59/$F$13)-($C$18/(PI()))*SIN((PI()*H59)/$F$13))+$D$3*H59)</f>
        <v>1.15888099215239</v>
      </c>
      <c r="J59" s="31">
        <f t="shared" si="6"/>
        <v>1.06108168095785</v>
      </c>
      <c r="K59" s="31">
        <f t="shared" si="3"/>
        <v>31</v>
      </c>
      <c r="L59" s="31">
        <f>IF(K59=" "," ",($L$26-$D$3*$F$12)*((K59/$F$12)-($C$18/(PI()))*SIN((PI()*K59)/$F$12))+$D$3*K59)</f>
        <v>1.13045354745306</v>
      </c>
      <c r="M59" s="31">
        <f t="shared" si="7"/>
        <v>1.05804297830523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1.25635079812863</v>
      </c>
      <c r="C60" s="31">
        <f t="shared" si="4"/>
        <v>1.05549613249</v>
      </c>
      <c r="D60" s="31">
        <f t="shared" si="1"/>
        <v>32</v>
      </c>
      <c r="E60" s="31">
        <f>IF(D60=" "," ",($E$26-$B$3*($F$8))*((D60/($F$8))-($C$18/(PI()))*SIN((PI()*D60)/($F$8)))+$B$3*D60)</f>
        <v>1.25635079812863</v>
      </c>
      <c r="F60" s="31">
        <f t="shared" si="5"/>
        <v>1.05549613249</v>
      </c>
      <c r="G60" s="31"/>
      <c r="H60" s="31">
        <f t="shared" si="2"/>
        <v>32</v>
      </c>
      <c r="I60" s="31">
        <f>IF(H60=" "," ",($I$26-$D$3*$F$13)*((H60/$F$13)-($C$18/(PI()))*SIN((PI()*H60)/$F$13))+$D$3*H60)</f>
        <v>1.26384085772902</v>
      </c>
      <c r="J60" s="31">
        <f t="shared" si="6"/>
        <v>1.05882294537754</v>
      </c>
      <c r="K60" s="31">
        <f t="shared" si="3"/>
        <v>32</v>
      </c>
      <c r="L60" s="31">
        <f>IF(K60=" "," ",($L$26-$D$3*$F$12)*((K60/$F$12)-($C$18/(PI()))*SIN((PI()*K60)/$F$12))+$D$3*K60)</f>
        <v>1.23070290317062</v>
      </c>
      <c r="M60" s="31">
        <f t="shared" si="7"/>
        <v>1.05568096231057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1.36412574887896</v>
      </c>
      <c r="C61" s="31">
        <f t="shared" si="4"/>
        <v>1.0532423982514</v>
      </c>
      <c r="D61" s="31">
        <f t="shared" si="1"/>
        <v>33</v>
      </c>
      <c r="E61" s="31">
        <f>IF(D61=" "," ",($E$26-$B$3*($F$8))*((D61/($F$8))-($C$18/(PI()))*SIN((PI()*D61)/($F$8)))+$B$3*D61)</f>
        <v>1.36412574887896</v>
      </c>
      <c r="F61" s="31">
        <f t="shared" si="5"/>
        <v>1.0532423982514</v>
      </c>
      <c r="G61" s="31"/>
      <c r="H61" s="31">
        <f t="shared" si="2"/>
        <v>33</v>
      </c>
      <c r="I61" s="31">
        <f>IF(H61=" "," ",($I$26-$D$3*$F$13)*((H61/$F$13)-($C$18/(PI()))*SIN((PI()*H61)/$F$13))+$D$3*H61)</f>
        <v>1.37475043109169</v>
      </c>
      <c r="J61" s="31">
        <f t="shared" si="6"/>
        <v>1.05668555074219</v>
      </c>
      <c r="K61" s="31">
        <f t="shared" si="3"/>
        <v>33</v>
      </c>
      <c r="L61" s="31">
        <f>IF(K61=" "," ",($L$26-$D$3*$F$12)*((K61/$F$12)-($C$18/(PI()))*SIN((PI()*K61)/$F$12))+$D$3*K61)</f>
        <v>1.3363095352048</v>
      </c>
      <c r="M61" s="31">
        <f t="shared" si="7"/>
        <v>1.0534395086959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1.47740794919165</v>
      </c>
      <c r="C62" s="31">
        <f t="shared" si="4"/>
        <v>1.05109953216421</v>
      </c>
      <c r="D62" s="31">
        <f t="shared" si="1"/>
        <v>34</v>
      </c>
      <c r="E62" s="31">
        <f>IF(D62=" "," ",($E$26-$B$3*($F$8))*((D62/($F$8))-($C$18/(PI()))*SIN((PI()*D62)/($F$8)))+$B$3*D62)</f>
        <v>1.47740794919165</v>
      </c>
      <c r="F62" s="31">
        <f t="shared" si="5"/>
        <v>1.05109953216421</v>
      </c>
      <c r="G62" s="31"/>
      <c r="H62" s="31">
        <f t="shared" si="2"/>
        <v>34</v>
      </c>
      <c r="I62" s="31">
        <f>IF(H62=" "," ",($I$26-$D$3*$F$13)*((H62/$F$13)-($C$18/(PI()))*SIN((PI()*H62)/$F$13))+$D$3*H62)</f>
        <v>1.49172225733459</v>
      </c>
      <c r="J62" s="31">
        <f t="shared" si="6"/>
        <v>1.05465941934887</v>
      </c>
      <c r="K62" s="31">
        <f t="shared" si="3"/>
        <v>34</v>
      </c>
      <c r="L62" s="31">
        <f>IF(K62=" "," ",($L$26-$D$3*$F$12)*((K62/$F$12)-($C$18/(PI()))*SIN((PI()*K62)/$F$12))+$D$3*K62)</f>
        <v>1.44733468496877</v>
      </c>
      <c r="M62" s="31">
        <f t="shared" si="7"/>
        <v>1.05130849858029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1.59624759027249</v>
      </c>
      <c r="C63" s="31">
        <f t="shared" si="4"/>
        <v>1.04905837592148</v>
      </c>
      <c r="D63" s="31">
        <f t="shared" si="1"/>
        <v>35</v>
      </c>
      <c r="E63" s="31">
        <f>IF(D63=" "," ",($E$26-$B$3*($F$8))*((D63/($F$8))-($C$18/(PI()))*SIN((PI()*D63)/($F$8)))+$B$3*D63)</f>
        <v>1.59624759027249</v>
      </c>
      <c r="F63" s="31">
        <f t="shared" si="5"/>
        <v>1.04905837592148</v>
      </c>
      <c r="G63" s="31"/>
      <c r="H63" s="31">
        <f t="shared" si="2"/>
        <v>35</v>
      </c>
      <c r="I63" s="31">
        <f>IF(H63=" "," ",($I$26-$D$3*$F$13)*((H63/$F$13)-($C$18/(PI()))*SIN((PI()*H63)/$F$13))+$D$3*H63)</f>
        <v>1.6148626521773</v>
      </c>
      <c r="J63" s="31">
        <f t="shared" si="6"/>
        <v>1.0527355073263</v>
      </c>
      <c r="K63" s="31">
        <f t="shared" si="3"/>
        <v>35</v>
      </c>
      <c r="L63" s="31">
        <f>IF(K63=" "," ",($L$26-$D$3*$F$12)*((K63/$F$12)-($C$18/(PI()))*SIN((PI()*K63)/$F$12))+$D$3*K63)</f>
        <v>1.56383102608542</v>
      </c>
      <c r="M63" s="31">
        <f t="shared" si="7"/>
        <v>1.04927884685866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1.72068584913803</v>
      </c>
      <c r="C64" s="31">
        <f t="shared" si="4"/>
        <v>1.04711069247411</v>
      </c>
      <c r="D64" s="31">
        <f t="shared" si="1"/>
        <v>36</v>
      </c>
      <c r="E64" s="31">
        <f>IF(D64=" "," ",($E$26-$B$3*($F$8))*((D64/($F$8))-($C$18/(PI()))*SIN((PI()*D64)/($F$8)))+$B$3*D64)</f>
        <v>1.72068584913803</v>
      </c>
      <c r="F64" s="31">
        <f t="shared" si="5"/>
        <v>1.04711069247411</v>
      </c>
      <c r="G64" s="31"/>
      <c r="H64" s="31">
        <f t="shared" si="2"/>
        <v>36</v>
      </c>
      <c r="I64" s="31">
        <f>IF(H64=" "," ",($I$26-$D$3*$F$13)*((H64/$F$13)-($C$18/(PI()))*SIN((PI()*H64)/$F$13))+$D$3*H64)</f>
        <v>1.74427159271814</v>
      </c>
      <c r="J64" s="31">
        <f t="shared" si="6"/>
        <v>1.05090568132536</v>
      </c>
      <c r="K64" s="31">
        <f t="shared" si="3"/>
        <v>36</v>
      </c>
      <c r="L64" s="31">
        <f>IF(K64=" "," ",($L$26-$D$3*$F$12)*((K64/$F$12)-($C$18/(PI()))*SIN((PI()*K64)/$F$12))+$D$3*K64)</f>
        <v>1.68584258109953</v>
      </c>
      <c r="M64" s="31">
        <f t="shared" si="7"/>
        <v>1.04734237869271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1.85075482182628</v>
      </c>
      <c r="C65" s="31">
        <f t="shared" si="4"/>
        <v>1.04524905663294</v>
      </c>
      <c r="D65" s="31">
        <f t="shared" si="1"/>
        <v>37</v>
      </c>
      <c r="E65" s="31">
        <f>IF(D65=" "," ",($E$26-$B$3*($F$8))*((D65/($F$8))-($C$18/(PI()))*SIN((PI()*D65)/($F$8)))+$B$3*D65)</f>
        <v>1.85075482182628</v>
      </c>
      <c r="F65" s="31">
        <f t="shared" si="5"/>
        <v>1.04524905663294</v>
      </c>
      <c r="G65" s="31"/>
      <c r="H65" s="31">
        <f t="shared" si="2"/>
        <v>37</v>
      </c>
      <c r="I65" s="31">
        <f>IF(H65=" "," ",($I$26-$D$3*$F$13)*((H65/$F$13)-($C$18/(PI()))*SIN((PI()*H65)/$F$13))+$D$3*H65)</f>
        <v>1.88004261470103</v>
      </c>
      <c r="J65" s="31">
        <f t="shared" si="6"/>
        <v>1.04916261129597</v>
      </c>
      <c r="K65" s="31">
        <f t="shared" si="3"/>
        <v>37</v>
      </c>
      <c r="L65" s="31">
        <f>IF(K65=" "," ",($L$26-$D$3*$F$12)*((K65/$F$12)-($C$18/(PI()))*SIN((PI()*K65)/$F$12))+$D$3*K65)</f>
        <v>1.81340465186908</v>
      </c>
      <c r="M65" s="31">
        <f t="shared" si="7"/>
        <v>1.04549172211431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1.98647747133685</v>
      </c>
      <c r="C66" s="31">
        <f t="shared" si="4"/>
        <v>1.04346676002335</v>
      </c>
      <c r="D66" s="31">
        <f t="shared" si="1"/>
        <v>38</v>
      </c>
      <c r="E66" s="31">
        <f>IF(D66=" "," ",($E$26-$B$3*($F$8))*((D66/($F$8))-($C$18/(PI()))*SIN((PI()*D66)/($F$8)))+$B$3*D66)</f>
        <v>1.98647747133685</v>
      </c>
      <c r="F66" s="31">
        <f t="shared" si="5"/>
        <v>1.04346676002335</v>
      </c>
      <c r="G66" s="31"/>
      <c r="H66" s="31">
        <f t="shared" si="2"/>
        <v>38</v>
      </c>
      <c r="I66" s="31">
        <f>IF(H66=" "," ",($I$26-$D$3*$F$13)*((H66/$F$13)-($C$18/(PI()))*SIN((PI()*H66)/$F$13))+$D$3*H66)</f>
        <v>2.02226271640109</v>
      </c>
      <c r="J66" s="31">
        <f t="shared" si="6"/>
        <v>1.0474996771991</v>
      </c>
      <c r="K66" s="31">
        <f t="shared" si="3"/>
        <v>38</v>
      </c>
      <c r="L66" s="31">
        <f>IF(K66=" "," ",($L$26-$D$3*$F$12)*((K66/$F$12)-($C$18/(PI()))*SIN((PI()*K66)/$F$12))+$D$3*K66)</f>
        <v>1.94654376374576</v>
      </c>
      <c r="M66" s="31">
        <f t="shared" si="7"/>
        <v>1.04372021458636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2.12786759038488</v>
      </c>
      <c r="C67" s="31">
        <f t="shared" si="4"/>
        <v>1.04175772841075</v>
      </c>
      <c r="D67" s="31">
        <f t="shared" si="1"/>
        <v>39</v>
      </c>
      <c r="E67" s="31">
        <f>IF(D67=" "," ",($E$26-$B$3*($F$8))*((D67/($F$8))-($C$18/(PI()))*SIN((PI()*D67)/($F$8)))+$B$3*D67)</f>
        <v>2.12786759038488</v>
      </c>
      <c r="F67" s="31">
        <f t="shared" si="5"/>
        <v>1.04175772841075</v>
      </c>
      <c r="G67" s="31"/>
      <c r="H67" s="31">
        <f t="shared" si="2"/>
        <v>39</v>
      </c>
      <c r="I67" s="31">
        <f>IF(H67=" "," ",($I$26-$D$3*$F$13)*((H67/$F$13)-($C$18/(PI()))*SIN((PI()*H67)/$F$13))+$D$3*H67)</f>
        <v>2.17101226922811</v>
      </c>
      <c r="J67" s="31">
        <f t="shared" si="6"/>
        <v>1.04591088776418</v>
      </c>
      <c r="K67" s="31">
        <f t="shared" si="3"/>
        <v>39</v>
      </c>
      <c r="L67" s="31">
        <f>IF(K67=" "," ",($L$26-$D$3*$F$12)*((K67/$F$12)-($C$18/(PI()))*SIN((PI()*K67)/$F$12))+$D$3*K67)</f>
        <v>2.08527762363292</v>
      </c>
      <c r="M67" s="31">
        <f t="shared" si="7"/>
        <v>1.0420218216242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2.27492977902916</v>
      </c>
      <c r="C68" s="31">
        <f t="shared" si="4"/>
        <v>1.04011644968158</v>
      </c>
      <c r="D68" s="31">
        <f t="shared" si="1"/>
        <v>40</v>
      </c>
      <c r="E68" s="31">
        <f>IF(D68=" "," ",($E$26-$B$3*($F$8))*((D68/($F$8))-($C$18/(PI()))*SIN((PI()*D68)/($F$8)))+$B$3*D68)</f>
        <v>2.27492977902916</v>
      </c>
      <c r="F68" s="31">
        <f t="shared" si="5"/>
        <v>1.04011644968158</v>
      </c>
      <c r="G68" s="31"/>
      <c r="H68" s="31">
        <f t="shared" si="2"/>
        <v>40</v>
      </c>
      <c r="I68" s="31">
        <f>IF(H68=" "," ",($I$26-$D$3*$F$13)*((H68/$F$13)-($C$18/(PI()))*SIN((PI()*H68)/$F$13))+$D$3*H68)</f>
        <v>2.32636493513946</v>
      </c>
      <c r="J68" s="31">
        <f t="shared" si="6"/>
        <v>1.04439080964505</v>
      </c>
      <c r="K68" s="31">
        <f t="shared" si="3"/>
        <v>40</v>
      </c>
      <c r="L68" s="31">
        <f>IF(K68=" "," ",($L$26-$D$3*$F$12)*((K68/$F$12)-($C$18/(PI()))*SIN((PI()*K68)/$F$12))+$D$3*K68)</f>
        <v>2.22961509198735</v>
      </c>
      <c r="M68" s="31">
        <f t="shared" si="7"/>
        <v>1.04039106582797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2.4276594372109</v>
      </c>
      <c r="C69" s="31">
        <f t="shared" si="4"/>
        <v>1.03853791100008</v>
      </c>
      <c r="D69" s="31">
        <f t="shared" si="1"/>
        <v>41</v>
      </c>
      <c r="E69" s="31">
        <f>IF(D69=" "," ",($E$26-$B$3*($F$8))*((D69/($F$8))-($C$18/(PI()))*SIN((PI()*D69)/($F$8)))+$B$3*D69)</f>
        <v>2.4276594372109</v>
      </c>
      <c r="F69" s="31">
        <f t="shared" si="5"/>
        <v>1.03853791100008</v>
      </c>
      <c r="G69" s="31"/>
      <c r="H69" s="31">
        <f t="shared" si="2"/>
        <v>41</v>
      </c>
      <c r="I69" s="31">
        <f>IF(H69=" "," ",($I$26-$D$3*$F$13)*((H69/$F$13)-($C$18/(PI()))*SIN((PI()*H69)/$F$13))+$D$3*H69)</f>
        <v>2.48838759094746</v>
      </c>
      <c r="J69" s="31">
        <f t="shared" si="6"/>
        <v>1.04293450554914</v>
      </c>
      <c r="K69" s="31">
        <f t="shared" si="3"/>
        <v>41</v>
      </c>
      <c r="L69" s="31">
        <f>IF(K69=" "," ",($L$26-$D$3*$F$12)*((K69/$F$12)-($C$18/(PI()))*SIN((PI()*K69)/$F$12))+$D$3*K69)</f>
        <v>2.37955616880905</v>
      </c>
      <c r="M69" s="31">
        <f t="shared" si="7"/>
        <v>1.03882296489716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2.58604277221495</v>
      </c>
      <c r="C70" s="31">
        <f t="shared" si="4"/>
        <v>1.03701754387215</v>
      </c>
      <c r="D70" s="31">
        <f t="shared" si="1"/>
        <v>42</v>
      </c>
      <c r="E70" s="31">
        <f>IF(D70=" "," ",($E$26-$B$3*($F$8))*((D70/($F$8))-($C$18/(PI()))*SIN((PI()*D70)/($F$8)))+$B$3*D70)</f>
        <v>2.58604277221495</v>
      </c>
      <c r="F70" s="31">
        <f t="shared" si="5"/>
        <v>1.03701754387215</v>
      </c>
      <c r="G70" s="31"/>
      <c r="H70" s="31">
        <f t="shared" si="2"/>
        <v>42</v>
      </c>
      <c r="I70" s="31">
        <f>IF(H70=" "," ",($I$26-$D$3*$F$13)*((H70/$F$13)-($C$18/(PI()))*SIN((PI()*H70)/$F$13))+$D$3*H70)</f>
        <v>2.65714025959892</v>
      </c>
      <c r="J70" s="31">
        <f t="shared" si="6"/>
        <v>1.04153748011285</v>
      </c>
      <c r="K70" s="31">
        <f t="shared" si="3"/>
        <v>42</v>
      </c>
      <c r="L70" s="31">
        <f>IF(K70=" "," ",($L$26-$D$3*$F$12)*((K70/$F$12)-($C$18/(PI()))*SIN((PI()*K70)/$F$12))+$D$3*K70)</f>
        <v>2.53509199364123</v>
      </c>
      <c r="M70" s="31">
        <f t="shared" si="7"/>
        <v>1.03731297739805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2.75005682104172</v>
      </c>
      <c r="C71" s="31">
        <f t="shared" si="4"/>
        <v>1.03555117602852</v>
      </c>
      <c r="D71" s="31">
        <f t="shared" si="1"/>
        <v>43</v>
      </c>
      <c r="E71" s="31">
        <f>IF(D71=" "," ",($E$26-$B$3*($F$8))*((D71/($F$8))-($C$18/(PI()))*SIN((PI()*D71)/($F$8)))+$B$3*D71)</f>
        <v>2.75005682104172</v>
      </c>
      <c r="F71" s="31">
        <f t="shared" si="5"/>
        <v>1.03555117602852</v>
      </c>
      <c r="G71" s="31"/>
      <c r="H71" s="31">
        <f t="shared" si="2"/>
        <v>43</v>
      </c>
      <c r="I71" s="31">
        <f>IF(H71=" "," ",($I$26-$D$3*$F$13)*((H71/$F$13)-($C$18/(PI()))*SIN((PI()*H71)/$F$13))+$D$3*H71)</f>
        <v>2.83267604849751</v>
      </c>
      <c r="J71" s="31">
        <f t="shared" si="6"/>
        <v>1.04019563246817</v>
      </c>
      <c r="K71" s="31">
        <f t="shared" si="3"/>
        <v>43</v>
      </c>
      <c r="L71" s="31">
        <f>IF(K71=" "," ",($L$26-$D$3*$F$12)*((K71/$F$12)-($C$18/(PI()))*SIN((PI()*K71)/$F$12))+$D$3*K71)</f>
        <v>2.69620485958055</v>
      </c>
      <c r="M71" s="31">
        <f t="shared" si="7"/>
        <v>1.03585695522651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2.91966948765319</v>
      </c>
      <c r="C72" s="31">
        <f t="shared" si="4"/>
        <v>1.03413498919598</v>
      </c>
      <c r="D72" s="31">
        <f t="shared" si="1"/>
        <v>44</v>
      </c>
      <c r="E72" s="31">
        <f>IF(D72=" "," ",($E$26-$B$3*($F$8))*((D72/($F$8))-($C$18/(PI()))*SIN((PI()*D72)/($F$8)))+$B$3*D72)</f>
        <v>2.91966948765319</v>
      </c>
      <c r="F72" s="31">
        <f t="shared" si="5"/>
        <v>1.03413498919598</v>
      </c>
      <c r="G72" s="31"/>
      <c r="H72" s="31">
        <f t="shared" si="2"/>
        <v>44</v>
      </c>
      <c r="I72" s="31">
        <f>IF(H72=" "," ",($I$26-$D$3*$F$13)*((H72/$F$13)-($C$18/(PI()))*SIN((PI()*H72)/$F$13))+$D$3*H72)</f>
        <v>3.01504109493233</v>
      </c>
      <c r="J72" s="31">
        <f t="shared" si="6"/>
        <v>1.03890521459515</v>
      </c>
      <c r="K72" s="31">
        <f t="shared" si="3"/>
        <v>44</v>
      </c>
      <c r="L72" s="31">
        <f>IF(K72=" "," ",($L$26-$D$3*$F$12)*((K72/$F$12)-($C$18/(PI()))*SIN((PI()*K72)/$F$12))+$D$3*K72)</f>
        <v>2.86286824127529</v>
      </c>
      <c r="M72" s="31">
        <f t="shared" si="7"/>
        <v>1.03445110186002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3.0948395950328</v>
      </c>
      <c r="C73" s="31">
        <f t="shared" si="4"/>
        <v>1.03276548196064</v>
      </c>
      <c r="D73" s="31">
        <f t="shared" si="1"/>
        <v>45</v>
      </c>
      <c r="E73" s="31">
        <f>IF(D73=" "," ",($E$26-$B$3*($F$8))*((D73/($F$8))-($C$18/(PI()))*SIN((PI()*D73)/($F$8)))+$B$3*D73)</f>
        <v>3.0948395950328</v>
      </c>
      <c r="F73" s="31">
        <f t="shared" si="5"/>
        <v>1.03276548196064</v>
      </c>
      <c r="G73" s="31"/>
      <c r="H73" s="31">
        <f t="shared" si="2"/>
        <v>45</v>
      </c>
      <c r="I73" s="31">
        <f>IF(H73=" "," ",($I$26-$D$3*$F$13)*((H73/$F$13)-($C$18/(PI()))*SIN((PI()*H73)/$F$13))+$D$3*H73)</f>
        <v>3.2042745186687</v>
      </c>
      <c r="J73" s="31">
        <f t="shared" si="6"/>
        <v>1.03766279468476</v>
      </c>
      <c r="K73" s="31">
        <f t="shared" si="3"/>
        <v>45</v>
      </c>
      <c r="L73" s="31">
        <f>IF(K73=" "," ",($L$26-$D$3*$F$12)*((K73/$F$12)-($C$18/(PI()))*SIN((PI()*K73)/$F$12))+$D$3*K73)</f>
        <v>3.0350468368675</v>
      </c>
      <c r="M73" s="31">
        <f t="shared" si="7"/>
        <v>1.03309193562124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3.27551695197478</v>
      </c>
      <c r="C74" s="31">
        <f t="shared" si="4"/>
        <v>1.03143943704064</v>
      </c>
      <c r="D74" s="31">
        <f t="shared" si="1"/>
        <v>46</v>
      </c>
      <c r="E74" s="31">
        <f>IF(D74=" "," ",($E$26-$B$3*($F$8))*((D74/($F$8))-($C$18/(PI()))*SIN((PI()*D74)/($F$8)))+$B$3*D74)</f>
        <v>3.27551695197478</v>
      </c>
      <c r="F74" s="31">
        <f t="shared" si="5"/>
        <v>1.03143943704064</v>
      </c>
      <c r="G74" s="31"/>
      <c r="H74" s="31">
        <f t="shared" si="2"/>
        <v>46</v>
      </c>
      <c r="I74" s="31">
        <f>IF(H74=" "," ",($I$26-$D$3*$F$13)*((H74/$F$13)-($C$18/(PI()))*SIN((PI()*H74)/$F$13))+$D$3*H74)</f>
        <v>3.40040838174998</v>
      </c>
      <c r="J74" s="31">
        <f t="shared" si="6"/>
        <v>1.03646522484593</v>
      </c>
      <c r="K74" s="31">
        <f t="shared" si="3"/>
        <v>46</v>
      </c>
      <c r="L74" s="31">
        <f>IF(K74=" "," ",($L$26-$D$3*$F$12)*((K74/$F$12)-($C$18/(PI()))*SIN((PI()*K74)/$F$12))+$D$3*K74)</f>
        <v>3.21269662381239</v>
      </c>
      <c r="M74" s="31">
        <f t="shared" si="7"/>
        <v>1.03177625728599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3.4616424344944</v>
      </c>
      <c r="C75" s="31">
        <f t="shared" si="4"/>
        <v>1.03015389238506</v>
      </c>
      <c r="D75" s="31">
        <f t="shared" si="1"/>
        <v>47</v>
      </c>
      <c r="E75" s="31">
        <f>IF(D75=" "," ",($E$26-$B$3*($F$8))*((D75/($F$8))-($C$18/(PI()))*SIN((PI()*D75)/($F$8)))+$B$3*D75)</f>
        <v>3.4616424344944</v>
      </c>
      <c r="F75" s="31">
        <f t="shared" si="5"/>
        <v>1.03015389238506</v>
      </c>
      <c r="G75" s="31"/>
      <c r="H75" s="31">
        <f t="shared" si="2"/>
        <v>47</v>
      </c>
      <c r="I75" s="31">
        <f>IF(H75=" "," ",($I$26-$D$3*$F$13)*((H75/$F$13)-($C$18/(PI()))*SIN((PI()*H75)/$F$13))+$D$3*H75)</f>
        <v>3.60346765555164</v>
      </c>
      <c r="J75" s="31">
        <f t="shared" si="6"/>
        <v>1.03530961258591</v>
      </c>
      <c r="K75" s="31">
        <f t="shared" si="3"/>
        <v>47</v>
      </c>
      <c r="L75" s="31">
        <f>IF(K75=" "," ",($L$26-$D$3*$F$12)*((K75/$F$12)-($C$18/(PI()))*SIN((PI()*K75)/$F$12))+$D$3*K75)</f>
        <v>3.39576492848707</v>
      </c>
      <c r="M75" s="31">
        <f t="shared" si="7"/>
        <v>1.03050112146476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3.65314808172734</v>
      </c>
      <c r="C76" s="31">
        <f t="shared" si="4"/>
        <v>1.0289061155973</v>
      </c>
      <c r="D76" s="31">
        <f t="shared" si="1"/>
        <v>48</v>
      </c>
      <c r="E76" s="31">
        <f>IF(D76=" "," ",($E$26-$B$3*($F$8))*((D76/($F$8))-($C$18/(PI()))*SIN((PI()*D76)/($F$8)))+$B$3*D76)</f>
        <v>3.65314808172734</v>
      </c>
      <c r="F76" s="31">
        <f t="shared" si="5"/>
        <v>1.0289061155973</v>
      </c>
      <c r="G76" s="31"/>
      <c r="H76" s="31">
        <f t="shared" si="2"/>
        <v>48</v>
      </c>
      <c r="I76" s="31">
        <f>IF(H76=" "," ",($I$26-$D$3*$F$13)*((H76/$F$13)-($C$18/(PI()))*SIN((PI()*H76)/$F$13))+$D$3*H76)</f>
        <v>3.81347019512149</v>
      </c>
      <c r="J76" s="31">
        <f t="shared" si="6"/>
        <v>1.03419329557421</v>
      </c>
      <c r="K76" s="31">
        <f t="shared" si="3"/>
        <v>48</v>
      </c>
      <c r="L76" s="31">
        <f>IF(K76=" "," ",($L$26-$D$3*$F$12)*((K76/$F$12)-($C$18/(PI()))*SIN((PI()*K76)/$F$12))+$D$3*K76)</f>
        <v>3.58419050947838</v>
      </c>
      <c r="M76" s="31">
        <f t="shared" si="7"/>
        <v>1.02926381126514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3.84995720616243</v>
      </c>
      <c r="C77" s="31">
        <f t="shared" si="4"/>
        <v>1.02769358125349</v>
      </c>
      <c r="D77" s="31">
        <f t="shared" si="1"/>
        <v>49</v>
      </c>
      <c r="E77" s="31">
        <f>IF(D77=" "," ",($E$26-$B$3*($F$8))*((D77/($F$8))-($C$18/(PI()))*SIN((PI()*D77)/($F$8)))+$B$3*D77)</f>
        <v>3.84995720616243</v>
      </c>
      <c r="F77" s="31">
        <f t="shared" si="5"/>
        <v>1.02769358125349</v>
      </c>
      <c r="G77" s="31"/>
      <c r="H77" s="31">
        <f t="shared" si="2"/>
        <v>49</v>
      </c>
      <c r="I77" s="31">
        <f>IF(H77=" "," ",($I$26-$D$3*$F$13)*((H77/$F$13)-($C$18/(PI()))*SIN((PI()*H77)/$F$13))+$D$3*H77)</f>
        <v>4.03042672083239</v>
      </c>
      <c r="J77" s="31">
        <f t="shared" si="6"/>
        <v>1.03311381926762</v>
      </c>
      <c r="K77" s="31">
        <f t="shared" si="3"/>
        <v>49</v>
      </c>
      <c r="L77" s="31">
        <f>IF(K77=" "," ",($L$26-$D$3*$F$12)*((K77/$F$12)-($C$18/(PI()))*SIN((PI()*K77)/$F$12))+$D$3*K77)</f>
        <v>3.77790365441813</v>
      </c>
      <c r="M77" s="31">
        <f t="shared" si="7"/>
        <v>1.02806181581407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4.05198451802908</v>
      </c>
      <c r="C78" s="31">
        <f t="shared" si="4"/>
        <v>1.02651395074565</v>
      </c>
      <c r="D78" s="31">
        <f t="shared" si="1"/>
        <v>50</v>
      </c>
      <c r="E78" s="31">
        <f>IF(D78=" "," ",($E$26-$B$3*($F$8))*((D78/($F$8))-($C$18/(PI()))*SIN((PI()*D78)/($F$8)))+$B$3*D78)</f>
        <v>4.05198451802908</v>
      </c>
      <c r="F78" s="31">
        <f t="shared" si="5"/>
        <v>1.02651395074565</v>
      </c>
      <c r="G78" s="31"/>
      <c r="H78" s="31">
        <f t="shared" si="2"/>
        <v>50</v>
      </c>
      <c r="I78" s="31">
        <f>IF(H78=" "," ",($I$26-$D$3*$F$13)*((H78/$F$13)-($C$18/(PI()))*SIN((PI()*H78)/$F$13))+$D$3*H78)</f>
        <v>4.25434080736639</v>
      </c>
      <c r="J78" s="31">
        <f t="shared" si="6"/>
        <v>1.03206891703439</v>
      </c>
      <c r="K78" s="31">
        <f t="shared" si="3"/>
        <v>50</v>
      </c>
      <c r="L78" s="31">
        <f>IF(K78=" "," ",($L$26-$D$3*$F$12)*((K78/$F$12)-($C$18/(PI()))*SIN((PI()*K78)/$F$12))+$D$3*K78)</f>
        <v>3.97682629021269</v>
      </c>
      <c r="M78" s="31">
        <f t="shared" si="7"/>
        <v>1.02689281027592</v>
      </c>
    </row>
    <row r="79" spans="1:13">
      <c r="A79" s="31">
        <f t="shared" si="0"/>
        <v>51</v>
      </c>
      <c r="B79" s="31">
        <f>IF(A79=" "," ",($B$26-$B$3*($F$9))*((A79/($F$9))-($C$18/(PI()))*SIN((PI()*A79)/($F$9)))+$B$3*A79)</f>
        <v>4.25913626363762</v>
      </c>
      <c r="C79" s="31">
        <f t="shared" si="4"/>
        <v>1.0253650543312</v>
      </c>
      <c r="D79" s="31">
        <f t="shared" si="1"/>
        <v>51</v>
      </c>
      <c r="E79" s="31">
        <f>IF(D79=" "," ",($E$26-$B$3*($F$8))*((D79/($F$8))-($C$18/(PI()))*SIN((PI()*D79)/($F$8)))+$B$3*D79)</f>
        <v>4.25913626363762</v>
      </c>
      <c r="F79" s="31">
        <f t="shared" si="5"/>
        <v>1.0253650543312</v>
      </c>
      <c r="G79" s="31"/>
      <c r="H79" s="31">
        <f t="shared" si="2"/>
        <v>51</v>
      </c>
      <c r="I79" s="31">
        <f>IF(H79=" "," ",($I$26-$D$3*$F$13)*((H79/$F$13)-($C$18/(PI()))*SIN((PI()*H79)/$F$13))+$D$3*H79)</f>
        <v>4.48520888004144</v>
      </c>
      <c r="J79" s="31">
        <f t="shared" si="6"/>
        <v>1.03105649246415</v>
      </c>
      <c r="K79" s="31">
        <f t="shared" si="3"/>
        <v>51</v>
      </c>
      <c r="L79" s="31">
        <f>IF(K79=" "," ",($L$26-$D$3*$F$12)*((K79/$F$12)-($C$18/(PI()))*SIN((PI()*K79)/$F$12))+$D$3*K79)</f>
        <v>4.18087210649262</v>
      </c>
      <c r="M79" s="31">
        <f t="shared" si="7"/>
        <v>1.02575463805261</v>
      </c>
    </row>
    <row r="80" spans="1:13">
      <c r="A80" s="31">
        <f t="shared" si="0"/>
        <v>52</v>
      </c>
      <c r="B80" s="31">
        <f>IF(A80=" "," ",($B$26-$B$3*($F$9))*((A80/($F$9))-($C$18/(PI()))*SIN((PI()*A80)/($F$9)))+$B$3*A80)</f>
        <v>4.4713103774481</v>
      </c>
      <c r="C80" s="31">
        <f t="shared" si="4"/>
        <v>1.02424487511404</v>
      </c>
      <c r="D80" s="31">
        <f t="shared" si="1"/>
        <v>52</v>
      </c>
      <c r="E80" s="31">
        <f>IF(D80=" "," ",($E$26-$B$3*($F$8))*((D80/($F$8))-($C$18/(PI()))*SIN((PI()*D80)/($F$8)))+$B$3*D80)</f>
        <v>4.4713103774481</v>
      </c>
      <c r="F80" s="31">
        <f t="shared" si="5"/>
        <v>1.02424487511404</v>
      </c>
      <c r="G80" s="31"/>
      <c r="H80" s="31">
        <f t="shared" si="2"/>
        <v>52</v>
      </c>
      <c r="I80" s="31">
        <f>IF(H80=" "," ",($I$26-$D$3*$F$13)*((H80/$F$13)-($C$18/(PI()))*SIN((PI()*H80)/$F$13))+$D$3*H80)</f>
        <v>4.72302021848468</v>
      </c>
      <c r="J80" s="31">
        <f t="shared" si="6"/>
        <v>1.03007460359386</v>
      </c>
      <c r="K80" s="31">
        <f t="shared" si="3"/>
        <v>52</v>
      </c>
      <c r="L80" s="31">
        <f>IF(K80=" "," ",($L$26-$D$3*$F$12)*((K80/$F$12)-($C$18/(PI()))*SIN((PI()*K80)/$F$12))+$D$3*K80)</f>
        <v>4.38994669208706</v>
      </c>
      <c r="M80" s="31">
        <f t="shared" si="7"/>
        <v>1.02464529489603</v>
      </c>
    </row>
    <row r="81" spans="1:13">
      <c r="A81" s="31">
        <f t="shared" si="0"/>
        <v>53</v>
      </c>
      <c r="B81" s="31">
        <f>IF(A81=" "," ",($B$26-$B$3*($F$9))*((A81/($F$9))-($C$18/(PI()))*SIN((PI()*A81)/($F$9)))+$B$3*A81)</f>
        <v>4.68839664762097</v>
      </c>
      <c r="C81" s="31">
        <f t="shared" si="4"/>
        <v>1.0231515347192</v>
      </c>
      <c r="D81" s="31">
        <f t="shared" si="1"/>
        <v>53</v>
      </c>
      <c r="E81" s="31">
        <f>IF(D81=" "," ",($E$26-$B$3*($F$8))*((D81/($F$8))-($C$18/(PI()))*SIN((PI()*D81)/($F$8)))+$B$3*D81)</f>
        <v>4.68839664762097</v>
      </c>
      <c r="F81" s="31">
        <f t="shared" si="5"/>
        <v>1.0231515347192</v>
      </c>
      <c r="G81" s="31"/>
      <c r="H81" s="31">
        <f t="shared" si="2"/>
        <v>53</v>
      </c>
      <c r="I81" s="31">
        <f>IF(H81=" "," ",($I$26-$D$3*$F$13)*((H81/$F$13)-($C$18/(PI()))*SIN((PI()*H81)/$F$13))+$D$3*H81)</f>
        <v>4.96775696764829</v>
      </c>
      <c r="J81" s="31">
        <f t="shared" si="6"/>
        <v>1.02912144881617</v>
      </c>
      <c r="K81" s="31">
        <f t="shared" si="3"/>
        <v>53</v>
      </c>
      <c r="L81" s="31">
        <f>IF(K81=" "," ",($L$26-$D$3*$F$12)*((K81/$F$12)-($C$18/(PI()))*SIN((PI()*K81)/$F$12))+$D$3*K81)</f>
        <v>4.60394768430724</v>
      </c>
      <c r="M81" s="31">
        <f t="shared" si="7"/>
        <v>1.02356291469733</v>
      </c>
    </row>
    <row r="82" spans="1:13">
      <c r="A82" s="31">
        <f t="shared" si="0"/>
        <v>54</v>
      </c>
      <c r="B82" s="31">
        <f>IF(A82=" "," ",($B$26-$B$3*($F$9))*((A82/($F$9))-($C$18/(PI()))*SIN((PI()*A82)/($F$9)))+$B$3*A82)</f>
        <v>4.91027689478111</v>
      </c>
      <c r="C82" s="31">
        <f t="shared" si="4"/>
        <v>1.02208328045553</v>
      </c>
      <c r="D82" s="31">
        <f t="shared" si="1"/>
        <v>54</v>
      </c>
      <c r="E82" s="31">
        <f>IF(D82=" "," ",($E$26-$B$3*($F$8))*((D82/($F$8))-($C$18/(PI()))*SIN((PI()*D82)/($F$8)))+$B$3*D82)</f>
        <v>4.91027689478111</v>
      </c>
      <c r="F82" s="31">
        <f t="shared" si="5"/>
        <v>1.02208328045553</v>
      </c>
      <c r="G82" s="31"/>
      <c r="H82" s="31">
        <f t="shared" si="2"/>
        <v>54</v>
      </c>
      <c r="I82" s="31">
        <f>IF(H82=" "," ",($I$26-$D$3*$F$13)*((H82/$F$13)-($C$18/(PI()))*SIN((PI()*H82)/$F$13))+$D$3*H82)</f>
        <v>5.21939415615681</v>
      </c>
      <c r="J82" s="31">
        <f t="shared" si="6"/>
        <v>1.02819535426735</v>
      </c>
      <c r="K82" s="31">
        <f t="shared" si="3"/>
        <v>54</v>
      </c>
      <c r="L82" s="31">
        <f>IF(K82=" "," ",($L$26-$D$3*$F$12)*((K82/$F$12)-($C$18/(PI()))*SIN((PI()*K82)/$F$12))+$D$3*K82)</f>
        <v>4.82276493080292</v>
      </c>
      <c r="M82" s="31">
        <f t="shared" si="7"/>
        <v>1.02250575675154</v>
      </c>
    </row>
    <row r="83" spans="1:13">
      <c r="A83" s="31">
        <f t="shared" si="0"/>
        <v>55</v>
      </c>
      <c r="B83" s="31">
        <f>IF(A83=" "," ",($B$26-$B$3*($F$9))*((A83/($F$9))-($C$18/(PI()))*SIN((PI()*A83)/($F$9)))+$B$3*A83)</f>
        <v>5.13682516370521</v>
      </c>
      <c r="C83" s="31">
        <f t="shared" si="4"/>
        <v>1.021038473788</v>
      </c>
      <c r="D83" s="31">
        <f t="shared" si="1"/>
        <v>55</v>
      </c>
      <c r="E83" s="31">
        <f>IF(D83=" "," ",($E$26-$B$3*($F$8))*((D83/($F$8))-($C$18/(PI()))*SIN((PI()*D83)/($F$8)))+$B$3*D83)</f>
        <v>5.13682516370521</v>
      </c>
      <c r="F83" s="31">
        <f t="shared" si="5"/>
        <v>1.021038473788</v>
      </c>
      <c r="G83" s="31"/>
      <c r="H83" s="31">
        <f t="shared" si="2"/>
        <v>55</v>
      </c>
      <c r="I83" s="31">
        <f>IF(H83=" "," ",($I$26-$D$3*$F$13)*((H83/$F$13)-($C$18/(PI()))*SIN((PI()*H83)/$F$13))+$D$3*H83)</f>
        <v>5.4778997219669</v>
      </c>
      <c r="J83" s="31">
        <f t="shared" si="6"/>
        <v>1.02729476252006</v>
      </c>
      <c r="K83" s="31">
        <f t="shared" si="3"/>
        <v>55</v>
      </c>
      <c r="L83" s="31">
        <f>IF(K83=" "," ",($L$26-$D$3*$F$12)*((K83/$F$12)-($C$18/(PI()))*SIN((PI()*K83)/$F$12))+$D$3*K83)</f>
        <v>5.04628066373588</v>
      </c>
      <c r="M83" s="31">
        <f t="shared" si="7"/>
        <v>1.02147219431981</v>
      </c>
    </row>
    <row r="84" spans="1:13">
      <c r="A84" s="31">
        <f t="shared" si="0"/>
        <v>56</v>
      </c>
      <c r="B84" s="31">
        <f>IF(A84=" "," ",($B$26-$B$3*($F$9))*((A84/($F$9))-($C$18/(PI()))*SIN((PI()*A84)/($F$9)))+$B$3*A84)</f>
        <v>5.36790792762157</v>
      </c>
      <c r="C84" s="31">
        <f t="shared" si="4"/>
        <v>1.02001557996354</v>
      </c>
      <c r="D84" s="31">
        <f t="shared" si="1"/>
        <v>56</v>
      </c>
      <c r="E84" s="31">
        <f>IF(D84=" "," ",($E$26-$B$3*($F$8))*((D84/($F$8))-($C$18/(PI()))*SIN((PI()*D84)/($F$8)))+$B$3*D84)</f>
        <v>5.36790792762157</v>
      </c>
      <c r="F84" s="31">
        <f t="shared" si="5"/>
        <v>1.02001557996354</v>
      </c>
      <c r="G84" s="31"/>
      <c r="H84" s="31">
        <f t="shared" si="2"/>
        <v>56</v>
      </c>
      <c r="I84" s="31">
        <f>IF(H84=" "," ",($I$26-$D$3*$F$13)*((H84/$F$13)-($C$18/(PI()))*SIN((PI()*H84)/$F$13))+$D$3*H84)</f>
        <v>5.7432345453132</v>
      </c>
      <c r="J84" s="31">
        <f t="shared" si="6"/>
        <v>1.02641822242715</v>
      </c>
      <c r="K84" s="31">
        <f t="shared" si="3"/>
        <v>56</v>
      </c>
      <c r="L84" s="31">
        <f>IF(K84=" "," ",($L$26-$D$3*$F$12)*((K84/$F$12)-($C$18/(PI()))*SIN((PI()*K84)/$F$12))+$D$3*K84)</f>
        <v>5.27436968599509</v>
      </c>
      <c r="M84" s="31">
        <f t="shared" si="7"/>
        <v>1.02046070433717</v>
      </c>
    </row>
    <row r="85" spans="1:13">
      <c r="A85" s="31">
        <f t="shared" si="0"/>
        <v>57</v>
      </c>
      <c r="B85" s="31">
        <f>IF(A85=" "," ",($B$26-$B$3*($F$9))*((A85/($F$9))-($C$18/(PI()))*SIN((PI()*A85)/($F$9)))+$B$3*A85)</f>
        <v>5.60338430479102</v>
      </c>
      <c r="C85" s="31">
        <f t="shared" si="4"/>
        <v>1.01901315865638</v>
      </c>
      <c r="D85" s="31">
        <f t="shared" si="1"/>
        <v>57</v>
      </c>
      <c r="E85" s="31">
        <f>IF(D85=" "," ",($E$26-$B$3*($F$8))*((D85/($F$8))-($C$18/(PI()))*SIN((PI()*D85)/($F$8)))+$B$3*D85)</f>
        <v>5.60338430479102</v>
      </c>
      <c r="F85" s="31">
        <f t="shared" si="5"/>
        <v>1.01901315865638</v>
      </c>
      <c r="G85" s="31"/>
      <c r="H85" s="31">
        <f t="shared" si="2"/>
        <v>57</v>
      </c>
      <c r="I85" s="31">
        <f>IF(H85=" "," ",($I$26-$D$3*$F$13)*((H85/$F$13)-($C$18/(PI()))*SIN((PI()*H85)/$F$13))+$D$3*H85)</f>
        <v>6.01535248890664</v>
      </c>
      <c r="J85" s="31">
        <f t="shared" si="6"/>
        <v>1.02556437998446</v>
      </c>
      <c r="K85" s="31">
        <f t="shared" si="3"/>
        <v>57</v>
      </c>
      <c r="L85" s="31">
        <f>IF(K85=" "," ",($L$26-$D$3*$F$12)*((K85/$F$12)-($C$18/(PI()))*SIN((PI()*K85)/$F$12))+$D$3*K85)</f>
        <v>5.50689956915908</v>
      </c>
      <c r="M85" s="31">
        <f t="shared" si="7"/>
        <v>1.01946985813169</v>
      </c>
    </row>
    <row r="86" spans="1:13">
      <c r="A86" s="31">
        <f t="shared" si="0"/>
        <v>58</v>
      </c>
      <c r="B86" s="31">
        <f>IF(A86=" "," ",($B$26-$B$3*($F$9))*((A86/($F$9))-($C$18/(PI()))*SIN((PI()*A86)/($F$9)))+$B$3*A86)</f>
        <v>5.84310628701764</v>
      </c>
      <c r="C86" s="31">
        <f t="shared" si="4"/>
        <v>1.01802985551338</v>
      </c>
      <c r="D86" s="31">
        <f t="shared" si="1"/>
        <v>58</v>
      </c>
      <c r="E86" s="31">
        <f>IF(D86=" "," ",($E$26-$B$3*($F$8))*((D86/($F$8))-($C$18/(PI()))*SIN((PI()*D86)/($F$8)))+$B$3*D86)</f>
        <v>5.84310628701764</v>
      </c>
      <c r="F86" s="31">
        <f t="shared" si="5"/>
        <v>1.01802985551338</v>
      </c>
      <c r="G86" s="31"/>
      <c r="H86" s="31">
        <f t="shared" si="2"/>
        <v>58</v>
      </c>
      <c r="I86" s="31">
        <f>IF(H86=" "," ",($I$26-$D$3*$F$13)*((H86/$F$13)-($C$18/(PI()))*SIN((PI()*H86)/$F$13))+$D$3*H86)</f>
        <v>6.29420044534354</v>
      </c>
      <c r="J86" s="31">
        <f t="shared" si="6"/>
        <v>1.02473197009571</v>
      </c>
      <c r="K86" s="31">
        <f t="shared" si="3"/>
        <v>58</v>
      </c>
      <c r="L86" s="31">
        <f>IF(K86=" "," ",($L$26-$D$3*$F$12)*((K86/$F$12)-($C$18/(PI()))*SIN((PI()*K86)/$F$12))+$D$3*K86)</f>
        <v>5.74373086289249</v>
      </c>
      <c r="M86" s="31">
        <f t="shared" si="7"/>
        <v>1.01849831303787</v>
      </c>
    </row>
    <row r="87" spans="1:13">
      <c r="A87" s="31">
        <f t="shared" si="0"/>
        <v>59</v>
      </c>
      <c r="B87" s="31">
        <f>IF(A87=" "," ",($B$26-$B$3*($F$9))*((A87/($F$9))-($C$18/(PI()))*SIN((PI()*A87)/($F$9)))+$B$3*A87)</f>
        <v>6.0869189797186</v>
      </c>
      <c r="C87" s="31">
        <f t="shared" si="4"/>
        <v>1.01706439449705</v>
      </c>
      <c r="D87" s="31">
        <f t="shared" si="1"/>
        <v>59</v>
      </c>
      <c r="E87" s="31">
        <f>IF(D87=" "," ",($E$26-$B$3*($F$8))*((D87/($F$8))-($C$18/(PI()))*SIN((PI()*D87)/($F$8)))+$B$3*D87)</f>
        <v>6.0869189797186</v>
      </c>
      <c r="F87" s="31">
        <f t="shared" si="5"/>
        <v>1.01706439449705</v>
      </c>
      <c r="G87" s="31"/>
      <c r="H87" s="31">
        <f t="shared" si="2"/>
        <v>59</v>
      </c>
      <c r="I87" s="31">
        <f>IF(H87=" "," ",($I$26-$D$3*$F$13)*((H87/$F$13)-($C$18/(PI()))*SIN((PI()*H87)/$F$13))+$D$3*H87)</f>
        <v>6.57971839167709</v>
      </c>
      <c r="J87" s="31">
        <f t="shared" si="6"/>
        <v>1.02391980913856</v>
      </c>
      <c r="K87" s="31">
        <f t="shared" si="3"/>
        <v>59</v>
      </c>
      <c r="L87" s="31">
        <f>IF(K87=" "," ",($L$26-$D$3*$F$12)*((K87/$F$12)-($C$18/(PI()))*SIN((PI()*K87)/$F$12))+$D$3*K87)</f>
        <v>5.98471731544572</v>
      </c>
      <c r="M87" s="31">
        <f t="shared" si="7"/>
        <v>1.01754480480309</v>
      </c>
    </row>
    <row r="88" spans="1:13">
      <c r="A88" s="31">
        <f t="shared" si="0"/>
        <v>60</v>
      </c>
      <c r="B88" s="31">
        <f>IF(A88=" "," ",($B$26-$B$3*($F$9))*((A88/($F$9))-($C$18/(PI()))*SIN((PI()*A88)/($F$9)))+$B$3*A88)</f>
        <v>6.33466085316369</v>
      </c>
      <c r="C88" s="31">
        <f t="shared" si="4"/>
        <v>1.01611557093523</v>
      </c>
      <c r="D88" s="31">
        <f t="shared" si="1"/>
        <v>60</v>
      </c>
      <c r="E88" s="31">
        <f>IF(D88=" "," ",($E$26-$B$3*($F$8))*((D88/($F$8))-($C$18/(PI()))*SIN((PI()*D88)/($F$8)))+$B$3*D88)</f>
        <v>6.33466085316369</v>
      </c>
      <c r="F88" s="31">
        <f t="shared" si="5"/>
        <v>1.01611557093523</v>
      </c>
      <c r="G88" s="31"/>
      <c r="H88" s="31">
        <f t="shared" si="2"/>
        <v>60</v>
      </c>
      <c r="I88" s="31">
        <f>IF(H88=" "," ",($I$26-$D$3*$F$13)*((H88/$F$13)-($C$18/(PI()))*SIN((PI()*H88)/$F$13))+$D$3*H88)</f>
        <v>6.87183945109496</v>
      </c>
      <c r="J88" s="31">
        <f t="shared" si="6"/>
        <v>1.02312678824264</v>
      </c>
      <c r="K88" s="31">
        <f t="shared" si="3"/>
        <v>60</v>
      </c>
      <c r="L88" s="31">
        <f>IF(K88=" "," ",($L$26-$D$3*$F$12)*((K88/$F$12)-($C$18/(PI()))*SIN((PI()*K88)/$F$12))+$D$3*K88)</f>
        <v>6.229706104909</v>
      </c>
      <c r="M88" s="31">
        <f t="shared" si="7"/>
        <v>1.01660814069689</v>
      </c>
    </row>
    <row r="89" spans="1:13">
      <c r="A89" s="31">
        <f t="shared" si="0"/>
        <v>61</v>
      </c>
      <c r="B89" s="31">
        <f>IF(A89=" "," ",($B$26-$B$3*($F$9))*((A89/($F$9))-($C$18/(PI()))*SIN((PI()*A89)/($F$9)))+$B$3*A89)</f>
        <v>6.58616400447719</v>
      </c>
      <c r="C89" s="31">
        <f t="shared" si="4"/>
        <v>1.01518224519779</v>
      </c>
      <c r="D89" s="31">
        <f t="shared" si="1"/>
        <v>61</v>
      </c>
      <c r="E89" s="31">
        <f>IF(D89=" "," ",($E$26-$B$3*($F$8))*((D89/($F$8))-($C$18/(PI()))*SIN((PI()*D89)/($F$8)))+$B$3*D89)</f>
        <v>6.58616400447719</v>
      </c>
      <c r="F89" s="31">
        <f t="shared" si="5"/>
        <v>1.01518224519779</v>
      </c>
      <c r="G89" s="31"/>
      <c r="H89" s="31">
        <f t="shared" si="2"/>
        <v>61</v>
      </c>
      <c r="I89" s="31">
        <f>IF(H89=" "," ",($I$26-$D$3*$F$13)*((H89/$F$13)-($C$18/(PI()))*SIN((PI()*H89)/$F$13))+$D$3*H89)</f>
        <v>7.1704899616398</v>
      </c>
      <c r="J89" s="31">
        <f t="shared" si="6"/>
        <v>1.02235186720182</v>
      </c>
      <c r="K89" s="31">
        <f t="shared" si="3"/>
        <v>61</v>
      </c>
      <c r="L89" s="31">
        <f>IF(K89=" "," ",($L$26-$D$3*$F$12)*((K89/$F$12)-($C$18/(PI()))*SIN((PI()*K89)/$F$12))+$D$3*K89)</f>
        <v>6.47853808085524</v>
      </c>
      <c r="M89" s="31">
        <f t="shared" si="7"/>
        <v>1.01568719324414</v>
      </c>
    </row>
    <row r="90" spans="1:13">
      <c r="A90" s="31">
        <f t="shared" si="0"/>
        <v>62</v>
      </c>
      <c r="B90" s="31">
        <f>IF(A90=" "," ",($B$26-$B$3*($F$9))*((A90/($F$9))-($C$18/(PI()))*SIN((PI()*A90)/($F$9)))+$B$3*A90)</f>
        <v>6.84125442997689</v>
      </c>
      <c r="C90" s="31">
        <f t="shared" si="4"/>
        <v>1.01426333693027</v>
      </c>
      <c r="D90" s="31">
        <f t="shared" si="1"/>
        <v>62</v>
      </c>
      <c r="E90" s="31">
        <f>IF(D90=" "," ",($E$26-$B$3*($F$8))*((D90/($F$8))-($C$18/(PI()))*SIN((PI()*D90)/($F$8)))+$B$3*D90)</f>
        <v>6.84125442997689</v>
      </c>
      <c r="F90" s="31">
        <f t="shared" si="5"/>
        <v>1.01426333693027</v>
      </c>
      <c r="G90" s="31"/>
      <c r="H90" s="31">
        <f t="shared" si="2"/>
        <v>62</v>
      </c>
      <c r="I90" s="31">
        <f>IF(H90=" "," ",($I$26-$D$3*$F$13)*((H90/$F$13)-($C$18/(PI()))*SIN((PI()*H90)/$F$13))+$D$3*H90)</f>
        <v>7.47558955190182</v>
      </c>
      <c r="J90" s="31">
        <f t="shared" si="6"/>
        <v>1.02159406895174</v>
      </c>
      <c r="K90" s="31">
        <f t="shared" si="3"/>
        <v>62</v>
      </c>
      <c r="L90" s="31">
        <f>IF(K90=" "," ",($L$26-$D$3*$F$12)*((K90/$F$12)-($C$18/(PI()))*SIN((PI()*K90)/$F$12))+$D$3*K90)</f>
        <v>6.73104801598956</v>
      </c>
      <c r="M90" s="31">
        <f t="shared" si="7"/>
        <v>1.01478089451365</v>
      </c>
    </row>
    <row r="91" spans="1:13">
      <c r="A91" s="31">
        <f t="shared" si="0"/>
        <v>63</v>
      </c>
      <c r="B91" s="31">
        <f>IF(A91=" "," ",($B$26-$B$3*($F$9))*((A91/($F$9))-($C$18/(PI()))*SIN((PI()*A91)/($F$9)))+$B$3*A91)</f>
        <v>7.09975230740877</v>
      </c>
      <c r="C91" s="31">
        <f t="shared" si="4"/>
        <v>1.01335781978294</v>
      </c>
      <c r="D91" s="31">
        <f t="shared" si="1"/>
        <v>63</v>
      </c>
      <c r="E91" s="31">
        <f>IF(D91=" "," ",($E$26-$B$3*($F$8))*((D91/($F$8))-($C$18/(PI()))*SIN((PI()*D91)/($F$8)))+$B$3*D91)</f>
        <v>7.09975230740877</v>
      </c>
      <c r="F91" s="31">
        <f t="shared" si="5"/>
        <v>1.01335781978294</v>
      </c>
      <c r="G91" s="31"/>
      <c r="H91" s="31">
        <f t="shared" si="2"/>
        <v>63</v>
      </c>
      <c r="I91" s="31">
        <f>IF(H91=" "," ",($I$26-$D$3*$F$13)*((H91/$F$13)-($C$18/(PI()))*SIN((PI()*H91)/$F$13))+$D$3*H91)</f>
        <v>7.78705122360587</v>
      </c>
      <c r="J91" s="31">
        <f t="shared" si="6"/>
        <v>1.02085247455289</v>
      </c>
      <c r="K91" s="31">
        <f t="shared" si="3"/>
        <v>63</v>
      </c>
      <c r="L91" s="31">
        <f>IF(K91=" "," ",($L$26-$D$3*$F$12)*((K91/$F$12)-($C$18/(PI()))*SIN((PI()*K91)/$F$12))+$D$3*K91)</f>
        <v>6.98706486740765</v>
      </c>
      <c r="M91" s="31">
        <f t="shared" si="7"/>
        <v>1.0138882309003</v>
      </c>
    </row>
    <row r="92" spans="1:13">
      <c r="A92" s="31">
        <f t="shared" si="0"/>
        <v>64</v>
      </c>
      <c r="B92" s="31">
        <f>IF(A92=" "," ",($B$26-$B$3*($F$9))*((A92/($F$9))-($C$18/(PI()))*SIN((PI()*A92)/($F$9)))+$B$3*A92)</f>
        <v>7.36147228761929</v>
      </c>
      <c r="C92" s="31">
        <f t="shared" si="4"/>
        <v>1.01246471657969</v>
      </c>
      <c r="D92" s="31">
        <f t="shared" si="1"/>
        <v>64</v>
      </c>
      <c r="E92" s="31">
        <f>IF(D92=" "," ",($E$26-$B$3*($F$8))*((D92/($F$8))-($C$18/(PI()))*SIN((PI()*D92)/($F$8)))+$B$3*D92)</f>
        <v>7.36147228761929</v>
      </c>
      <c r="F92" s="31">
        <f t="shared" si="5"/>
        <v>1.01246471657969</v>
      </c>
      <c r="G92" s="31"/>
      <c r="H92" s="31">
        <f t="shared" si="2"/>
        <v>64</v>
      </c>
      <c r="I92" s="31">
        <f>IF(H92=" "," ",($I$26-$D$3*$F$13)*((H92/$F$13)-($C$18/(PI()))*SIN((PI()*H92)/$F$13))+$D$3*H92)</f>
        <v>8.10478144100806</v>
      </c>
      <c r="J92" s="31">
        <f t="shared" si="6"/>
        <v>1.02012621862538</v>
      </c>
      <c r="K92" s="31">
        <f t="shared" si="3"/>
        <v>64</v>
      </c>
      <c r="L92" s="31">
        <f>IF(K92=" "," ",($L$26-$D$3*$F$12)*((K92/$F$12)-($C$18/(PI()))*SIN((PI()*K92)/$F$12))+$D$3*K92)</f>
        <v>7.24641204704968</v>
      </c>
      <c r="M92" s="31">
        <f t="shared" si="7"/>
        <v>1.01300823834643</v>
      </c>
    </row>
    <row r="93" spans="1:13">
      <c r="A93" s="31">
        <f t="shared" ref="A93:A156" si="8">IF(($F$9)-ROW(A65)&gt;=0,($F$9)-(($F$9)-ROW(A65))," ")</f>
        <v>65</v>
      </c>
      <c r="B93" s="31">
        <f>IF(A93=" "," ",($B$26-$B$3*($F$9))*((A93/($F$9))-($C$18/(PI()))*SIN((PI()*A93)/($F$9)))+$B$3*A93)</f>
        <v>7.62622379519244</v>
      </c>
      <c r="C93" s="31">
        <f t="shared" si="4"/>
        <v>1.01158309487944</v>
      </c>
      <c r="D93" s="31">
        <f t="shared" ref="D93:D156" si="9">IF(($F$8)-ROW(D65)&gt;=0,($F$8)-(($F$8)-ROW(D65))," ")</f>
        <v>65</v>
      </c>
      <c r="E93" s="31">
        <f>IF(D93=" "," ",($E$26-$B$3*($F$8))*((D93/($F$8))-($C$18/(PI()))*SIN((PI()*D93)/($F$8)))+$B$3*D93)</f>
        <v>7.62622379519244</v>
      </c>
      <c r="F93" s="31">
        <f t="shared" si="5"/>
        <v>1.01158309487944</v>
      </c>
      <c r="G93" s="31"/>
      <c r="H93" s="31">
        <f t="shared" ref="H93:H156" si="10">IF($F$13-ROW(H65)&gt;=0,$F$13-($F$13-ROW(H65))," ")</f>
        <v>65</v>
      </c>
      <c r="I93" s="31">
        <f>IF(H93=" "," ",($I$26-$D$3*$F$13)*((H93/$F$13)-($C$18/(PI()))*SIN((PI()*H93)/$F$13))+$D$3*H93)</f>
        <v>8.42868022701005</v>
      </c>
      <c r="J93" s="31">
        <f t="shared" si="6"/>
        <v>1.01941448518884</v>
      </c>
      <c r="K93" s="31">
        <f t="shared" ref="K93:K156" si="11">IF($F$12-ROW(K65)&gt;=0,$F$12-($F$12-ROW(K65))," ")</f>
        <v>65</v>
      </c>
      <c r="L93" s="31">
        <f>IF(K93=" "," ",($L$26-$D$3*$F$12)*((K93/$F$12)-($C$18/(PI()))*SIN((PI()*K93)/$F$12))+$D$3*K93)</f>
        <v>7.50890770092241</v>
      </c>
      <c r="M93" s="31">
        <f t="shared" si="7"/>
        <v>1.01213999795579</v>
      </c>
    </row>
    <row r="94" spans="1:13">
      <c r="A94" s="31">
        <f t="shared" si="8"/>
        <v>66</v>
      </c>
      <c r="B94" s="31">
        <f>IF(A94=" "," ",($B$26-$B$3*($F$9))*((A94/($F$9))-($C$18/(PI()))*SIN((PI()*A94)/($F$9)))+$B$3*A94)</f>
        <v>7.89381133756371</v>
      </c>
      <c r="C94" s="31">
        <f t="shared" ref="C94:C157" si="12">IF(A94=" "," ",(B94-B93)/(B93-B92))</f>
        <v>1.01071206288542</v>
      </c>
      <c r="D94" s="31">
        <f t="shared" si="9"/>
        <v>66</v>
      </c>
      <c r="E94" s="31">
        <f>IF(D94=" "," ",($E$26-$B$3*($F$8))*((D94/($F$8))-($C$18/(PI()))*SIN((PI()*D94)/($F$8)))+$B$3*D94)</f>
        <v>7.89381133756371</v>
      </c>
      <c r="F94" s="31">
        <f t="shared" ref="F94:F157" si="13">IF(D94=" "," ",(E94-E93)/(E93-E92))</f>
        <v>1.01071206288542</v>
      </c>
      <c r="G94" s="31"/>
      <c r="H94" s="31">
        <f t="shared" si="10"/>
        <v>66</v>
      </c>
      <c r="I94" s="31">
        <f>IF(H94=" "," ",($I$26-$D$3*$F$13)*((H94/$F$13)-($C$18/(PI()))*SIN((PI()*H94)/$F$13))+$D$3*H94)</f>
        <v>8.75864126589228</v>
      </c>
      <c r="J94" s="31">
        <f t="shared" ref="J94:J157" si="14">IF(H94=" "," ",(I94-I93)/(I93-I92))</f>
        <v>1.0187165038655</v>
      </c>
      <c r="K94" s="31">
        <f t="shared" si="11"/>
        <v>66</v>
      </c>
      <c r="L94" s="31">
        <f>IF(K94=" "," ",($L$26-$D$3*$F$12)*((K94/$F$12)-($C$18/(PI()))*SIN((PI()*K94)/$F$12))+$D$3*K94)</f>
        <v>7.77436499664765</v>
      </c>
      <c r="M94" s="31">
        <f t="shared" ref="M94:M157" si="15">IF(K94=" "," ",(L94-L93)/(L93-L92))</f>
        <v>1.01128263195529</v>
      </c>
    </row>
    <row r="95" spans="1:13">
      <c r="A95" s="31">
        <f t="shared" si="8"/>
        <v>67</v>
      </c>
      <c r="B95" s="31">
        <f>IF(A95=" "," ",($B$26-$B$3*($F$9))*((A95/($F$9))-($C$18/(PI()))*SIN((PI()*A95)/($F$9)))+$B$3*A95)</f>
        <v>8.16403482210982</v>
      </c>
      <c r="C95" s="31">
        <f t="shared" si="12"/>
        <v>1.0098507656652</v>
      </c>
      <c r="D95" s="31">
        <f t="shared" si="9"/>
        <v>67</v>
      </c>
      <c r="E95" s="31">
        <f>IF(D95=" "," ",($E$26-$B$3*($F$8))*((D95/($F$8))-($C$18/(PI()))*SIN((PI()*D95)/($F$8)))+$B$3*D95)</f>
        <v>8.16403482210982</v>
      </c>
      <c r="F95" s="31">
        <f t="shared" si="13"/>
        <v>1.0098507656652</v>
      </c>
      <c r="G95" s="31"/>
      <c r="H95" s="31">
        <f t="shared" si="10"/>
        <v>67</v>
      </c>
      <c r="I95" s="31">
        <f>IF(H95=" "," ",($I$26-$D$3*$F$13)*((H95/$F$13)-($C$18/(PI()))*SIN((PI()*H95)/$F$13))+$D$3*H95)</f>
        <v>9.09455201256055</v>
      </c>
      <c r="J95" s="31">
        <f t="shared" si="14"/>
        <v>1.01803154640981</v>
      </c>
      <c r="K95" s="31">
        <f t="shared" si="11"/>
        <v>67</v>
      </c>
      <c r="L95" s="31">
        <f>IF(K95=" "," ",($L$26-$D$3*$F$12)*((K95/$F$12)-($C$18/(PI()))*SIN((PI()*K95)/$F$12))+$D$3*K95)</f>
        <v>8.04259241888271</v>
      </c>
      <c r="M95" s="31">
        <f t="shared" si="15"/>
        <v>1.01043529996888</v>
      </c>
    </row>
    <row r="96" spans="1:13">
      <c r="A96" s="31">
        <f t="shared" si="8"/>
        <v>68</v>
      </c>
      <c r="B96" s="31">
        <f>IF(A96=" "," ",($B$26-$B$3*($F$9))*((A96/($F$9))-($C$18/(PI()))*SIN((PI()*A96)/($F$9)))+$B$3*A96)</f>
        <v>8.4366898806996</v>
      </c>
      <c r="C96" s="31">
        <f t="shared" si="12"/>
        <v>1.00899838164608</v>
      </c>
      <c r="D96" s="31">
        <f t="shared" si="9"/>
        <v>68</v>
      </c>
      <c r="E96" s="31">
        <f>IF(D96=" "," ",($E$26-$B$3*($F$8))*((D96/($F$8))-($C$18/(PI()))*SIN((PI()*D96)/($F$8)))+$B$3*D96)</f>
        <v>8.4366898806996</v>
      </c>
      <c r="F96" s="31">
        <f t="shared" si="13"/>
        <v>1.00899838164608</v>
      </c>
      <c r="G96" s="31"/>
      <c r="H96" s="31">
        <f t="shared" si="10"/>
        <v>68</v>
      </c>
      <c r="I96" s="31">
        <f>IF(H96=" "," ",($I$26-$D$3*$F$13)*((H96/$F$13)-($C$18/(PI()))*SIN((PI()*H96)/$F$13))+$D$3*H96)</f>
        <v>9.43629380819371</v>
      </c>
      <c r="J96" s="31">
        <f t="shared" si="14"/>
        <v>1.01735892353172</v>
      </c>
      <c r="K96" s="31">
        <f t="shared" si="11"/>
        <v>68</v>
      </c>
      <c r="L96" s="31">
        <f>IF(K96=" "," ",($L$26-$D$3*$F$12)*((K96/$F$12)-($C$18/(PI()))*SIN((PI()*K96)/$F$12))+$D$3*K96)</f>
        <v>8.3133940721455</v>
      </c>
      <c r="M96" s="31">
        <f t="shared" si="15"/>
        <v>1.00959719556739</v>
      </c>
    </row>
    <row r="97" spans="1:13">
      <c r="A97" s="31">
        <f t="shared" si="8"/>
        <v>69</v>
      </c>
      <c r="B97" s="31">
        <f>IF(A97=" "," ",($B$26-$B$3*($F$9))*((A97/($F$9))-($C$18/(PI()))*SIN((PI()*A97)/($F$9)))+$B$3*A97)</f>
        <v>8.71156820117992</v>
      </c>
      <c r="C97" s="31">
        <f t="shared" si="12"/>
        <v>1.00815411935518</v>
      </c>
      <c r="D97" s="31">
        <f t="shared" si="9"/>
        <v>69</v>
      </c>
      <c r="E97" s="31">
        <f>IF(D97=" "," ",($E$26-$B$3*($F$8))*((D97/($F$8))-($C$18/(PI()))*SIN((PI()*D97)/($F$8)))+$B$3*D97)</f>
        <v>8.71156820117992</v>
      </c>
      <c r="F97" s="31">
        <f t="shared" si="13"/>
        <v>1.00815411935518</v>
      </c>
      <c r="G97" s="31"/>
      <c r="H97" s="31">
        <f t="shared" si="10"/>
        <v>69</v>
      </c>
      <c r="I97" s="31">
        <f>IF(H97=" "," ",($I$26-$D$3*$F$13)*((H97/$F$13)-($C$18/(PI()))*SIN((PI()*H97)/$F$13))+$D$3*H97)</f>
        <v>9.78374200217364</v>
      </c>
      <c r="J97" s="31">
        <f t="shared" si="14"/>
        <v>1.01669798198431</v>
      </c>
      <c r="K97" s="31">
        <f t="shared" si="11"/>
        <v>69</v>
      </c>
      <c r="L97" s="31">
        <f>IF(K97=" "," ",($L$26-$D$3*$F$12)*((K97/$F$12)-($C$18/(PI()))*SIN((PI()*K97)/$F$12))+$D$3*K97)</f>
        <v>8.58656999056553</v>
      </c>
      <c r="M97" s="31">
        <f t="shared" si="15"/>
        <v>1.00876754306571</v>
      </c>
    </row>
    <row r="98" spans="1:13">
      <c r="A98" s="31">
        <f t="shared" si="8"/>
        <v>70</v>
      </c>
      <c r="B98" s="31">
        <f>IF(A98=" "," ",($B$26-$B$3*($F$9))*((A98/($F$9))-($C$18/(PI()))*SIN((PI()*A98)/($F$9)))+$B$3*A98)</f>
        <v>8.98845786525872</v>
      </c>
      <c r="C98" s="31">
        <f t="shared" si="12"/>
        <v>1.00731721437678</v>
      </c>
      <c r="D98" s="31">
        <f t="shared" si="9"/>
        <v>70</v>
      </c>
      <c r="E98" s="31">
        <f>IF(D98=" "," ",($E$26-$B$3*($F$8))*((D98/($F$8))-($C$18/(PI()))*SIN((PI()*D98)/($F$8)))+$B$3*D98)</f>
        <v>8.98845786525872</v>
      </c>
      <c r="F98" s="31">
        <f t="shared" si="13"/>
        <v>1.00731721437678</v>
      </c>
      <c r="G98" s="31"/>
      <c r="H98" s="31">
        <f t="shared" si="10"/>
        <v>70</v>
      </c>
      <c r="I98" s="31">
        <f>IF(H98=" "," ",($I$26-$D$3*$F$13)*((H98/$F$13)-($C$18/(PI()))*SIN((PI()*H98)/$F$13))+$D$3*H98)</f>
        <v>10.1367660801722</v>
      </c>
      <c r="J98" s="31">
        <f t="shared" si="14"/>
        <v>1.01604810189032</v>
      </c>
      <c r="K98" s="31">
        <f t="shared" si="11"/>
        <v>70</v>
      </c>
      <c r="L98" s="31">
        <f>IF(K98=" "," ",($L$26-$D$3*$F$12)*((K98/$F$12)-($C$18/(PI()))*SIN((PI()*K98)/$F$12))+$D$3*K98)</f>
        <v>8.86191645407111</v>
      </c>
      <c r="M98" s="31">
        <f t="shared" si="15"/>
        <v>1.00794559453888</v>
      </c>
    </row>
    <row r="99" spans="1:13">
      <c r="A99" s="31">
        <f t="shared" si="8"/>
        <v>71</v>
      </c>
      <c r="B99" s="31">
        <f>IF(A99=" "," ",($B$26-$B$3*($F$9))*((A99/($F$9))-($C$18/(PI()))*SIN((PI()*A99)/($F$9)))+$B$3*A99)</f>
        <v>9.26714369223727</v>
      </c>
      <c r="C99" s="31">
        <f t="shared" si="12"/>
        <v>1.00648692650095</v>
      </c>
      <c r="D99" s="31">
        <f t="shared" si="9"/>
        <v>71</v>
      </c>
      <c r="E99" s="31">
        <f>IF(D99=" "," ",($E$26-$B$3*($F$8))*((D99/($F$8))-($C$18/(PI()))*SIN((PI()*D99)/($F$8)))+$B$3*D99)</f>
        <v>9.26714369223727</v>
      </c>
      <c r="F99" s="31">
        <f t="shared" si="13"/>
        <v>1.00648692650095</v>
      </c>
      <c r="G99" s="31"/>
      <c r="H99" s="31">
        <f t="shared" si="10"/>
        <v>71</v>
      </c>
      <c r="I99" s="31">
        <f>IF(H99=" "," ",($I$26-$D$3*$F$13)*((H99/$F$13)-($C$18/(PI()))*SIN((PI()*H99)/$F$13))+$D$3*H99)</f>
        <v>10.4952297982634</v>
      </c>
      <c r="J99" s="31">
        <f t="shared" si="14"/>
        <v>1.01540869428375</v>
      </c>
      <c r="K99" s="31">
        <f t="shared" si="11"/>
        <v>71</v>
      </c>
      <c r="L99" s="31">
        <f>IF(K99=" "," ",($L$26-$D$3*$F$12)*((K99/$F$12)-($C$18/(PI()))*SIN((PI()*K99)/$F$12))+$D$3*K99)</f>
        <v>9.13922631051261</v>
      </c>
      <c r="M99" s="31">
        <f t="shared" si="15"/>
        <v>1.00713062703229</v>
      </c>
    </row>
    <row r="100" spans="1:13">
      <c r="A100" s="31">
        <f t="shared" si="8"/>
        <v>72</v>
      </c>
      <c r="B100" s="31">
        <f>IF(A100=" "," ",($B$26-$B$3*($F$9))*((A100/($F$9))-($C$18/(PI()))*SIN((PI()*A100)/($F$9)))+$B$3*A100)</f>
        <v>9.54740758803406</v>
      </c>
      <c r="C100" s="31">
        <f t="shared" si="12"/>
        <v>1.00566253704159</v>
      </c>
      <c r="D100" s="31">
        <f t="shared" si="9"/>
        <v>72</v>
      </c>
      <c r="E100" s="31">
        <f>IF(D100=" "," ",($E$26-$B$3*($F$8))*((D100/($F$8))-($C$18/(PI()))*SIN((PI()*D100)/($F$8)))+$B$3*D100)</f>
        <v>9.54740758803406</v>
      </c>
      <c r="F100" s="31">
        <f t="shared" si="13"/>
        <v>1.00566253704159</v>
      </c>
      <c r="G100" s="31"/>
      <c r="H100" s="31">
        <f t="shared" si="10"/>
        <v>72</v>
      </c>
      <c r="I100" s="31">
        <f>IF(H100=" "," ",($I$26-$D$3*$F$13)*((H100/$F$13)-($C$18/(PI()))*SIN((PI()*H100)/$F$13))+$D$3*H100)</f>
        <v>10.8589913229234</v>
      </c>
      <c r="J100" s="31">
        <f t="shared" si="14"/>
        <v>1.01477919884629</v>
      </c>
      <c r="K100" s="31">
        <f t="shared" si="11"/>
        <v>72</v>
      </c>
      <c r="L100" s="31">
        <f>IF(K100=" "," ",($L$26-$D$3*$F$12)*((K100/$F$12)-($C$18/(PI()))*SIN((PI()*K100)/$F$12))+$D$3*K100)</f>
        <v>9.4182893032126</v>
      </c>
      <c r="M100" s="31">
        <f t="shared" si="15"/>
        <v>1.00632193994467</v>
      </c>
    </row>
    <row r="101" spans="1:13">
      <c r="A101" s="31">
        <f t="shared" si="8"/>
        <v>73</v>
      </c>
      <c r="B101" s="31">
        <f>IF(A101=" "," ",($B$26-$B$3*($F$9))*((A101/($F$9))-($C$18/(PI()))*SIN((PI()*A101)/($F$9)))+$B$3*A101)</f>
        <v>9.82902889893415</v>
      </c>
      <c r="C101" s="31">
        <f t="shared" si="12"/>
        <v>1.00484334630207</v>
      </c>
      <c r="D101" s="31">
        <f t="shared" si="9"/>
        <v>73</v>
      </c>
      <c r="E101" s="31">
        <f>IF(D101=" "," ",($E$26-$B$3*($F$8))*((D101/($F$8))-($C$18/(PI()))*SIN((PI()*D101)/($F$8)))+$B$3*D101)</f>
        <v>9.82902889893415</v>
      </c>
      <c r="F101" s="31">
        <f t="shared" si="13"/>
        <v>1.00484334630207</v>
      </c>
      <c r="G101" s="31"/>
      <c r="H101" s="31">
        <f t="shared" si="10"/>
        <v>73</v>
      </c>
      <c r="I101" s="31">
        <f>IF(H101=" "," ",($I$26-$D$3*$F$13)*((H101/$F$13)-($C$18/(PI()))*SIN((PI()*H101)/$F$13))+$D$3*H101)</f>
        <v>11.2279033767742</v>
      </c>
      <c r="J101" s="31">
        <f t="shared" si="14"/>
        <v>1.01415908182005</v>
      </c>
      <c r="K101" s="31">
        <f t="shared" si="11"/>
        <v>73</v>
      </c>
      <c r="L101" s="31">
        <f>IF(K101=" "," ",($L$26-$D$3*$F$12)*((K101/$F$12)-($C$18/(PI()))*SIN((PI()*K101)/$F$12))+$D$3*K101)</f>
        <v>9.69889240342489</v>
      </c>
      <c r="M101" s="31">
        <f t="shared" si="15"/>
        <v>1.00551885256225</v>
      </c>
    </row>
    <row r="102" spans="1:13">
      <c r="A102" s="31">
        <f t="shared" si="8"/>
        <v>74</v>
      </c>
      <c r="B102" s="31">
        <f>IF(A102=" "," ",($B$26-$B$3*($F$9))*((A102/($F$9))-($C$18/(PI()))*SIN((PI()*A102)/($F$9)))+$B$3*A102)</f>
        <v>10.1117847694904</v>
      </c>
      <c r="C102" s="31">
        <f t="shared" si="12"/>
        <v>1.00402867117021</v>
      </c>
      <c r="D102" s="31">
        <f t="shared" si="9"/>
        <v>74</v>
      </c>
      <c r="E102" s="31">
        <f>IF(D102=" "," ",($E$26-$B$3*($F$8))*((D102/($F$8))-($C$18/(PI()))*SIN((PI()*D102)/($F$8)))+$B$3*D102)</f>
        <v>10.1117847694904</v>
      </c>
      <c r="F102" s="31">
        <f t="shared" si="13"/>
        <v>1.00402867117021</v>
      </c>
      <c r="G102" s="31"/>
      <c r="H102" s="31">
        <f t="shared" si="10"/>
        <v>74</v>
      </c>
      <c r="I102" s="31">
        <f>IF(H102=" "," ",($I$26-$D$3*$F$13)*((H102/$F$13)-($C$18/(PI()))*SIN((PI()*H102)/$F$13))+$D$3*H102)</f>
        <v>11.6018133899204</v>
      </c>
      <c r="J102" s="31">
        <f t="shared" si="14"/>
        <v>1.01354783407959</v>
      </c>
      <c r="K102" s="31">
        <f t="shared" si="11"/>
        <v>74</v>
      </c>
      <c r="L102" s="31">
        <f>IF(K102=" "," ",($L$26-$D$3*$F$12)*((K102/$F$12)-($C$18/(PI()))*SIN((PI()*K102)/$F$12))+$D$3*K102)</f>
        <v>9.98082014717671</v>
      </c>
      <c r="M102" s="31">
        <f t="shared" si="15"/>
        <v>1.00472070172619</v>
      </c>
    </row>
    <row r="103" spans="1:13">
      <c r="A103" s="31">
        <f t="shared" si="8"/>
        <v>75</v>
      </c>
      <c r="B103" s="31">
        <f>IF(A103=" "," ",($B$26-$B$3*($F$9))*((A103/($F$9))-($C$18/(PI()))*SIN((PI()*A103)/($F$9)))+$B$3*A103)</f>
        <v>10.3954505039957</v>
      </c>
      <c r="C103" s="31">
        <f t="shared" si="12"/>
        <v>1.00321784282413</v>
      </c>
      <c r="D103" s="31">
        <f t="shared" si="9"/>
        <v>75</v>
      </c>
      <c r="E103" s="31">
        <f>IF(D103=" "," ",($E$26-$B$3*($F$8))*((D103/($F$8))-($C$18/(PI()))*SIN((PI()*D103)/($F$8)))+$B$3*D103)</f>
        <v>10.3954505039957</v>
      </c>
      <c r="F103" s="31">
        <f t="shared" si="13"/>
        <v>1.00321784282413</v>
      </c>
      <c r="G103" s="31"/>
      <c r="H103" s="31">
        <f t="shared" si="10"/>
        <v>75</v>
      </c>
      <c r="I103" s="31">
        <f>IF(H103=" "," ",($I$26-$D$3*$F$13)*((H103/$F$13)-($C$18/(PI()))*SIN((PI()*H103)/$F$13))+$D$3*H103)</f>
        <v>11.980563656726</v>
      </c>
      <c r="J103" s="31">
        <f t="shared" si="14"/>
        <v>1.01294496934879</v>
      </c>
      <c r="K103" s="31">
        <f t="shared" si="11"/>
        <v>75</v>
      </c>
      <c r="L103" s="31">
        <f>IF(K103=" "," ",($L$26-$D$3*$F$12)*((K103/$F$12)-($C$18/(PI()))*SIN((PI()*K103)/$F$12))+$D$3*K103)</f>
        <v>10.2638549759616</v>
      </c>
      <c r="M103" s="31">
        <f t="shared" si="15"/>
        <v>1.00392683961629</v>
      </c>
    </row>
    <row r="104" spans="1:13">
      <c r="A104" s="31">
        <f t="shared" si="8"/>
        <v>76</v>
      </c>
      <c r="B104" s="31">
        <f>IF(A104=" "," ",($B$26-$B$3*($F$9))*((A104/($F$9))-($C$18/(PI()))*SIN((PI()*A104)/($F$9)))+$B$3*A104)</f>
        <v>10.6797999309403</v>
      </c>
      <c r="C104" s="31">
        <f t="shared" si="12"/>
        <v>1.00241020453352</v>
      </c>
      <c r="D104" s="31">
        <f t="shared" si="9"/>
        <v>76</v>
      </c>
      <c r="E104" s="31">
        <f>IF(D104=" "," ",($E$26-$B$3*($F$8))*((D104/($F$8))-($C$18/(PI()))*SIN((PI()*D104)/($F$8)))+$B$3*D104)</f>
        <v>10.6797999309403</v>
      </c>
      <c r="F104" s="31">
        <f t="shared" si="13"/>
        <v>1.00241020453352</v>
      </c>
      <c r="G104" s="31"/>
      <c r="H104" s="31">
        <f t="shared" si="10"/>
        <v>76</v>
      </c>
      <c r="I104" s="31">
        <f>IF(H104=" "," ",($I$26-$D$3*$F$13)*((H104/$F$13)-($C$18/(PI()))*SIN((PI()*H104)/$F$13))+$D$3*H104)</f>
        <v>12.3639914978671</v>
      </c>
      <c r="J104" s="31">
        <f t="shared" si="14"/>
        <v>1.01235002254881</v>
      </c>
      <c r="K104" s="31">
        <f t="shared" si="11"/>
        <v>76</v>
      </c>
      <c r="L104" s="31">
        <f>IF(K104=" "," ",($L$26-$D$3*$F$12)*((K104/$F$12)-($C$18/(PI()))*SIN((PI()*K104)/$F$12))+$D$3*K104)</f>
        <v>10.5477775807442</v>
      </c>
      <c r="M104" s="31">
        <f t="shared" si="15"/>
        <v>1.00313663163459</v>
      </c>
    </row>
    <row r="105" spans="1:13">
      <c r="A105" s="31">
        <f t="shared" si="8"/>
        <v>77</v>
      </c>
      <c r="B105" s="31">
        <f>IF(A105=" "," ",($B$26-$B$3*($F$9))*((A105/($F$9))-($C$18/(PI()))*SIN((PI()*A105)/($F$9)))+$B$3*A105)</f>
        <v>10.9646057698628</v>
      </c>
      <c r="C105" s="31">
        <f t="shared" si="12"/>
        <v>1.00160510954019</v>
      </c>
      <c r="D105" s="31">
        <f t="shared" si="9"/>
        <v>77</v>
      </c>
      <c r="E105" s="31">
        <f>IF(D105=" "," ",($E$26-$B$3*($F$8))*((D105/($F$8))-($C$18/(PI()))*SIN((PI()*D105)/($F$8)))+$B$3*D105)</f>
        <v>10.9646057698628</v>
      </c>
      <c r="F105" s="31">
        <f t="shared" si="13"/>
        <v>1.00160510954019</v>
      </c>
      <c r="G105" s="31"/>
      <c r="H105" s="31">
        <f t="shared" si="10"/>
        <v>77</v>
      </c>
      <c r="I105" s="31">
        <f>IF(H105=" "," ",($I$26-$D$3*$F$13)*((H105/$F$13)-($C$18/(PI()))*SIN((PI()*H105)/$F$13))+$D$3*H105)</f>
        <v>12.7519294274957</v>
      </c>
      <c r="J105" s="31">
        <f t="shared" si="14"/>
        <v>1.01176254826511</v>
      </c>
      <c r="K105" s="31">
        <f t="shared" si="11"/>
        <v>77</v>
      </c>
      <c r="L105" s="31">
        <f>IF(K105=" "," ",($L$26-$D$3*$F$12)*((K105/$F$12)-($C$18/(PI()))*SIN((PI()*K105)/$F$12))+$D$3*K105)</f>
        <v>10.8323672487327</v>
      </c>
      <c r="M105" s="31">
        <f t="shared" si="15"/>
        <v>1.00234945437467</v>
      </c>
    </row>
    <row r="106" spans="1:13">
      <c r="A106" s="31">
        <f t="shared" si="8"/>
        <v>78</v>
      </c>
      <c r="B106" s="31">
        <f>IF(A106=" "," ",($B$26-$B$3*($F$9))*((A106/($F$9))-($C$18/(PI()))*SIN((PI()*A106)/($F$9)))+$B$3*A106)</f>
        <v>11.24964</v>
      </c>
      <c r="C106" s="31">
        <f t="shared" si="12"/>
        <v>1.00080191900391</v>
      </c>
      <c r="D106" s="31">
        <f t="shared" si="9"/>
        <v>78</v>
      </c>
      <c r="E106" s="31">
        <f>IF(D106=" "," ",($E$26-$B$3*($F$8))*((D106/($F$8))-($C$18/(PI()))*SIN((PI()*D106)/($F$8)))+$B$3*D106)</f>
        <v>11.24964</v>
      </c>
      <c r="F106" s="31">
        <f t="shared" si="13"/>
        <v>1.00080191900391</v>
      </c>
      <c r="G106" s="31"/>
      <c r="H106" s="31">
        <f t="shared" si="10"/>
        <v>78</v>
      </c>
      <c r="I106" s="31">
        <f>IF(H106=" "," ",($I$26-$D$3*$F$13)*((H106/$F$13)-($C$18/(PI()))*SIN((PI()*H106)/$F$13))+$D$3*H106)</f>
        <v>13.1442053253434</v>
      </c>
      <c r="J106" s="31">
        <f t="shared" si="14"/>
        <v>1.01118211932296</v>
      </c>
      <c r="K106" s="31">
        <f t="shared" si="11"/>
        <v>78</v>
      </c>
      <c r="L106" s="31">
        <f>IF(K106=" "," ",($L$26-$D$3*$F$12)*((K106/$F$12)-($C$18/(PI()))*SIN((PI()*K106)/$F$12))+$D$3*K106)</f>
        <v>11.1174022123712</v>
      </c>
      <c r="M106" s="31">
        <f t="shared" si="15"/>
        <v>1.00156469366302</v>
      </c>
    </row>
    <row r="107" spans="1:13">
      <c r="A107" s="31" t="str">
        <f t="shared" si="8"/>
        <v> </v>
      </c>
      <c r="B107" s="31" t="str">
        <f>IF(A107=" "," ",($B$26-$B$3*($F$9))*((A107/($F$9))-($C$18/(PI()))*SIN((PI()*A107)/($F$9)))+$B$3*A107)</f>
        <v> </v>
      </c>
      <c r="C107" s="31" t="str">
        <f t="shared" si="12"/>
        <v> </v>
      </c>
      <c r="D107" s="31" t="str">
        <f t="shared" si="9"/>
        <v> </v>
      </c>
      <c r="E107" s="31" t="str">
        <f>IF(D107=" "," ",($E$26-$B$3*($F$8))*((D107/($F$8))-($C$18/(PI()))*SIN((PI()*D107)/($F$8)))+$B$3*D107)</f>
        <v> </v>
      </c>
      <c r="F107" s="31" t="str">
        <f t="shared" si="13"/>
        <v> </v>
      </c>
      <c r="G107" s="31"/>
      <c r="H107" s="31">
        <f t="shared" si="10"/>
        <v>79</v>
      </c>
      <c r="I107" s="31">
        <f>IF(H107=" "," ",($I$26-$D$3*$F$13)*((H107/$F$13)-($C$18/(PI()))*SIN((PI()*H107)/$F$13))+$D$3*H107)</f>
        <v>13.5406426135859</v>
      </c>
      <c r="J107" s="31">
        <f t="shared" si="14"/>
        <v>1.01060832546088</v>
      </c>
      <c r="K107" s="31">
        <f t="shared" si="11"/>
        <v>79</v>
      </c>
      <c r="L107" s="31">
        <f>IF(K107=" "," ",($L$26-$D$3*$F$12)*((K107/$F$12)-($C$18/(PI()))*SIN((PI()*K107)/$F$12))+$D$3*K107)</f>
        <v>11.40266</v>
      </c>
      <c r="M107" s="31">
        <f t="shared" si="15"/>
        <v>1.00078174265869</v>
      </c>
    </row>
    <row r="108" spans="1:13">
      <c r="A108" s="31" t="str">
        <f t="shared" si="8"/>
        <v> </v>
      </c>
      <c r="B108" s="31" t="str">
        <f>IF(A108=" "," ",($B$26-$B$3*($F$9))*((A108/($F$9))-($C$18/(PI()))*SIN((PI()*A108)/($F$9)))+$B$3*A108)</f>
        <v> </v>
      </c>
      <c r="C108" s="31" t="str">
        <f t="shared" si="12"/>
        <v> </v>
      </c>
      <c r="D108" s="31" t="str">
        <f t="shared" si="9"/>
        <v> </v>
      </c>
      <c r="E108" s="31" t="str">
        <f>IF(D108=" "," ",($E$26-$B$3*($F$8))*((D108/($F$8))-($C$18/(PI()))*SIN((PI()*D108)/($F$8)))+$B$3*D108)</f>
        <v> </v>
      </c>
      <c r="F108" s="31" t="str">
        <f t="shared" si="13"/>
        <v> </v>
      </c>
      <c r="G108" s="31"/>
      <c r="H108" s="31">
        <f t="shared" si="10"/>
        <v>80</v>
      </c>
      <c r="I108" s="31">
        <f>IF(H108=" "," ",($I$26-$D$3*$F$13)*((H108/$F$13)-($C$18/(PI()))*SIN((PI()*H108)/$F$13))+$D$3*H108)</f>
        <v>13.941060438289</v>
      </c>
      <c r="J108" s="31">
        <f t="shared" si="14"/>
        <v>1.01004077209373</v>
      </c>
      <c r="K108" s="31" t="str">
        <f t="shared" si="11"/>
        <v> </v>
      </c>
      <c r="L108" s="31" t="str">
        <f>IF(K108=" "," ",($L$26-$D$3*$F$12)*((K108/$F$12)-($C$18/(PI()))*SIN((PI()*K108)/$F$12))+$D$3*K108)</f>
        <v> </v>
      </c>
      <c r="M108" s="31" t="str">
        <f t="shared" si="15"/>
        <v> </v>
      </c>
    </row>
    <row r="109" spans="1:13">
      <c r="A109" s="31" t="str">
        <f t="shared" si="8"/>
        <v> </v>
      </c>
      <c r="B109" s="31" t="str">
        <f>IF(A109=" "," ",($B$26-$B$3*($F$9))*((A109/($F$9))-($C$18/(PI()))*SIN((PI()*A109)/($F$9)))+$B$3*A109)</f>
        <v> </v>
      </c>
      <c r="C109" s="31" t="str">
        <f t="shared" si="12"/>
        <v> </v>
      </c>
      <c r="D109" s="31" t="str">
        <f t="shared" si="9"/>
        <v> </v>
      </c>
      <c r="E109" s="31" t="str">
        <f>IF(D109=" "," ",($E$26-$B$3*($F$8))*((D109/($F$8))-($C$18/(PI()))*SIN((PI()*D109)/($F$8)))+$B$3*D109)</f>
        <v> </v>
      </c>
      <c r="F109" s="31" t="str">
        <f t="shared" si="13"/>
        <v> </v>
      </c>
      <c r="G109" s="31"/>
      <c r="H109" s="31">
        <f t="shared" si="10"/>
        <v>81</v>
      </c>
      <c r="I109" s="31">
        <f>IF(H109=" "," ",($I$26-$D$3*$F$13)*((H109/$F$13)-($C$18/(PI()))*SIN((PI()*H109)/$F$13))+$D$3*H109)</f>
        <v>14.3452738552485</v>
      </c>
      <c r="J109" s="31">
        <f t="shared" si="14"/>
        <v>1.00947907915714</v>
      </c>
      <c r="K109" s="31" t="str">
        <f t="shared" si="11"/>
        <v> </v>
      </c>
      <c r="L109" s="31" t="str">
        <f>IF(K109=" "," ",($L$26-$D$3*$F$12)*((K109/$F$12)-($C$18/(PI()))*SIN((PI()*K109)/$F$12))+$D$3*K109)</f>
        <v> </v>
      </c>
      <c r="M109" s="31" t="str">
        <f t="shared" si="15"/>
        <v> </v>
      </c>
    </row>
    <row r="110" spans="1:13">
      <c r="A110" s="31" t="str">
        <f t="shared" si="8"/>
        <v> </v>
      </c>
      <c r="B110" s="31" t="str">
        <f>IF(A110=" "," ",($B$26-$B$3*($F$9))*((A110/($F$9))-($C$18/(PI()))*SIN((PI()*A110)/($F$9)))+$B$3*A110)</f>
        <v> </v>
      </c>
      <c r="C110" s="31" t="str">
        <f t="shared" si="12"/>
        <v> </v>
      </c>
      <c r="D110" s="31" t="str">
        <f t="shared" si="9"/>
        <v> </v>
      </c>
      <c r="E110" s="31" t="str">
        <f>IF(D110=" "," ",($E$26-$B$3*($F$8))*((D110/($F$8))-($C$18/(PI()))*SIN((PI()*D110)/($F$8)))+$B$3*D110)</f>
        <v> </v>
      </c>
      <c r="F110" s="31" t="str">
        <f t="shared" si="13"/>
        <v> </v>
      </c>
      <c r="G110" s="31"/>
      <c r="H110" s="31">
        <f t="shared" si="10"/>
        <v>82</v>
      </c>
      <c r="I110" s="31">
        <f>IF(H110=" "," ",($I$26-$D$3*$F$13)*((H110/$F$13)-($C$18/(PI()))*SIN((PI()*H110)/$F$13))+$D$3*H110)</f>
        <v>14.7530940200323</v>
      </c>
      <c r="J110" s="31">
        <f t="shared" si="14"/>
        <v>1.00892288002559</v>
      </c>
      <c r="K110" s="31" t="str">
        <f t="shared" si="11"/>
        <v> </v>
      </c>
      <c r="L110" s="31" t="str">
        <f>IF(K110=" "," ",($L$26-$D$3*$F$12)*((K110/$F$12)-($C$18/(PI()))*SIN((PI()*K110)/$F$12))+$D$3*K110)</f>
        <v> </v>
      </c>
      <c r="M110" s="31" t="str">
        <f t="shared" si="15"/>
        <v> </v>
      </c>
    </row>
    <row r="111" spans="1:13">
      <c r="A111" s="31" t="str">
        <f t="shared" si="8"/>
        <v> </v>
      </c>
      <c r="B111" s="31" t="str">
        <f>IF(A111=" "," ",($B$26-$B$3*($F$9))*((A111/($F$9))-($C$18/(PI()))*SIN((PI()*A111)/($F$9)))+$B$3*A111)</f>
        <v> </v>
      </c>
      <c r="C111" s="31" t="str">
        <f t="shared" si="12"/>
        <v> </v>
      </c>
      <c r="D111" s="31" t="str">
        <f t="shared" si="9"/>
        <v> </v>
      </c>
      <c r="E111" s="31" t="str">
        <f>IF(D111=" "," ",($E$26-$B$3*($F$8))*((D111/($F$8))-($C$18/(PI()))*SIN((PI()*D111)/($F$8)))+$B$3*D111)</f>
        <v> </v>
      </c>
      <c r="F111" s="31" t="str">
        <f t="shared" si="13"/>
        <v> </v>
      </c>
      <c r="G111" s="31"/>
      <c r="H111" s="31">
        <f t="shared" si="10"/>
        <v>83</v>
      </c>
      <c r="I111" s="31">
        <f>IF(H111=" "," ",($I$26-$D$3*$F$13)*((H111/$F$13)-($C$18/(PI()))*SIN((PI()*H111)/$F$13))+$D$3*H111)</f>
        <v>15.164328382031</v>
      </c>
      <c r="J111" s="31">
        <f t="shared" si="14"/>
        <v>1.00837182049798</v>
      </c>
      <c r="K111" s="31" t="str">
        <f t="shared" si="11"/>
        <v> </v>
      </c>
      <c r="L111" s="31" t="str">
        <f>IF(K111=" "," ",($L$26-$D$3*$F$12)*((K111/$F$12)-($C$18/(PI()))*SIN((PI()*K111)/$F$12))+$D$3*K111)</f>
        <v> </v>
      </c>
      <c r="M111" s="31" t="str">
        <f t="shared" si="15"/>
        <v> </v>
      </c>
    </row>
    <row r="112" spans="1:13">
      <c r="A112" s="31" t="str">
        <f t="shared" si="8"/>
        <v> </v>
      </c>
      <c r="B112" s="31" t="str">
        <f>IF(A112=" "," ",($B$26-$B$3*($F$9))*((A112/($F$9))-($C$18/(PI()))*SIN((PI()*A112)/($F$9)))+$B$3*A112)</f>
        <v> </v>
      </c>
      <c r="C112" s="31" t="str">
        <f t="shared" si="12"/>
        <v> </v>
      </c>
      <c r="D112" s="31" t="str">
        <f t="shared" si="9"/>
        <v> </v>
      </c>
      <c r="E112" s="31" t="str">
        <f>IF(D112=" "," ",($E$26-$B$3*($F$8))*((D112/($F$8))-($C$18/(PI()))*SIN((PI()*D112)/($F$8)))+$B$3*D112)</f>
        <v> </v>
      </c>
      <c r="F112" s="31" t="str">
        <f t="shared" si="13"/>
        <v> </v>
      </c>
      <c r="G112" s="31"/>
      <c r="H112" s="31">
        <f t="shared" si="10"/>
        <v>84</v>
      </c>
      <c r="I112" s="31">
        <f>IF(H112=" "," ",($I$26-$D$3*$F$13)*((H112/$F$13)-($C$18/(PI()))*SIN((PI()*H112)/$F$13))+$D$3*H112)</f>
        <v>15.5787808823171</v>
      </c>
      <c r="J112" s="31">
        <f t="shared" si="14"/>
        <v>1.00782555784423</v>
      </c>
      <c r="K112" s="31" t="str">
        <f t="shared" si="11"/>
        <v> </v>
      </c>
      <c r="L112" s="31" t="str">
        <f>IF(K112=" "," ",($L$26-$D$3*$F$12)*((K112/$F$12)-($C$18/(PI()))*SIN((PI()*K112)/$F$12))+$D$3*K112)</f>
        <v> </v>
      </c>
      <c r="M112" s="31" t="str">
        <f t="shared" si="15"/>
        <v> </v>
      </c>
    </row>
    <row r="113" spans="1:13">
      <c r="A113" s="31" t="str">
        <f t="shared" si="8"/>
        <v> </v>
      </c>
      <c r="B113" s="31" t="str">
        <f>IF(A113=" "," ",($B$26-$B$3*($F$9))*((A113/($F$9))-($C$18/(PI()))*SIN((PI()*A113)/($F$9)))+$B$3*A113)</f>
        <v> </v>
      </c>
      <c r="C113" s="31" t="str">
        <f t="shared" si="12"/>
        <v> </v>
      </c>
      <c r="D113" s="31" t="str">
        <f t="shared" si="9"/>
        <v> </v>
      </c>
      <c r="E113" s="31" t="str">
        <f>IF(D113=" "," ",($E$26-$B$3*($F$8))*((D113/($F$8))-($C$18/(PI()))*SIN((PI()*D113)/($F$8)))+$B$3*D113)</f>
        <v> </v>
      </c>
      <c r="F113" s="31" t="str">
        <f t="shared" si="13"/>
        <v> </v>
      </c>
      <c r="G113" s="31"/>
      <c r="H113" s="31">
        <f t="shared" si="10"/>
        <v>85</v>
      </c>
      <c r="I113" s="31">
        <f>IF(H113=" "," ",($I$26-$D$3*$F$13)*((H113/$F$13)-($C$18/(PI()))*SIN((PI()*H113)/$F$13))+$D$3*H113)</f>
        <v>15.9962521551083</v>
      </c>
      <c r="J113" s="31">
        <f t="shared" si="14"/>
        <v>1.00728375990729</v>
      </c>
      <c r="K113" s="31" t="str">
        <f t="shared" si="11"/>
        <v> </v>
      </c>
      <c r="L113" s="31" t="str">
        <f>IF(K113=" "," ",($L$26-$D$3*$F$12)*((K113/$F$12)-($C$18/(PI()))*SIN((PI()*K113)/$F$12))+$D$3*K113)</f>
        <v> </v>
      </c>
      <c r="M113" s="31" t="str">
        <f t="shared" si="15"/>
        <v> </v>
      </c>
    </row>
    <row r="114" spans="1:13">
      <c r="A114" s="31" t="str">
        <f t="shared" si="8"/>
        <v> </v>
      </c>
      <c r="B114" s="31" t="str">
        <f>IF(A114=" "," ",($B$26-$B$3*($F$9))*((A114/($F$9))-($C$18/(PI()))*SIN((PI()*A114)/($F$9)))+$B$3*A114)</f>
        <v> </v>
      </c>
      <c r="C114" s="31" t="str">
        <f t="shared" si="12"/>
        <v> </v>
      </c>
      <c r="D114" s="31" t="str">
        <f t="shared" si="9"/>
        <v> </v>
      </c>
      <c r="E114" s="31" t="str">
        <f>IF(D114=" "," ",($E$26-$B$3*($F$8))*((D114/($F$8))-($C$18/(PI()))*SIN((PI()*D114)/($F$8)))+$B$3*D114)</f>
        <v> </v>
      </c>
      <c r="F114" s="31" t="str">
        <f t="shared" si="13"/>
        <v> </v>
      </c>
      <c r="G114" s="31"/>
      <c r="H114" s="31">
        <f t="shared" si="10"/>
        <v>86</v>
      </c>
      <c r="I114" s="31">
        <f>IF(H114=" "," ",($I$26-$D$3*$F$13)*((H114/$F$13)-($C$18/(PI()))*SIN((PI()*H114)/$F$13))+$D$3*H114)</f>
        <v>16.4165397326294</v>
      </c>
      <c r="J114" s="31">
        <f t="shared" si="14"/>
        <v>1.00674610425556</v>
      </c>
      <c r="K114" s="31" t="str">
        <f t="shared" si="11"/>
        <v> </v>
      </c>
      <c r="L114" s="31" t="str">
        <f>IF(K114=" "," ",($L$26-$D$3*$F$12)*((K114/$F$12)-($C$18/(PI()))*SIN((PI()*K114)/$F$12))+$D$3*K114)</f>
        <v> </v>
      </c>
      <c r="M114" s="31" t="str">
        <f t="shared" si="15"/>
        <v> 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>
        <f t="shared" si="10"/>
        <v>87</v>
      </c>
      <c r="I115" s="31">
        <f>IF(H115=" "," ",($I$26-$D$3*$F$13)*((H115/$F$13)-($C$18/(PI()))*SIN((PI()*H115)/$F$13))+$D$3*H115)</f>
        <v>16.8394382531619</v>
      </c>
      <c r="J115" s="31">
        <f t="shared" si="14"/>
        <v>1.006212277381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>
        <f t="shared" si="10"/>
        <v>88</v>
      </c>
      <c r="I116" s="31">
        <f>IF(H116=" "," ",($I$26-$D$3*$F$13)*((H116/$F$13)-($C$18/(PI()))*SIN((PI()*H116)/$F$13))+$D$3*H116)</f>
        <v>17.2647396720667</v>
      </c>
      <c r="J116" s="31">
        <f t="shared" si="14"/>
        <v>1.00568197393852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>
        <f t="shared" si="10"/>
        <v>89</v>
      </c>
      <c r="I117" s="31">
        <f>IF(H117=" "," ",($I$26-$D$3*$F$13)*((H117/$F$13)-($C$18/(PI()))*SIN((PI()*H117)/$F$13))+$D$3*H117)</f>
        <v>17.6922334755643</v>
      </c>
      <c r="J117" s="31">
        <f t="shared" si="14"/>
        <v>1.00515489602269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>
        <f t="shared" si="10"/>
        <v>90</v>
      </c>
      <c r="I118" s="31">
        <f>IF(H118=" "," ",($I$26-$D$3*$F$13)*((H118/$F$13)-($C$18/(PI()))*SIN((PI()*H118)/$F$13))+$D$3*H118)</f>
        <v>18.1217068970516</v>
      </c>
      <c r="J118" s="31">
        <f t="shared" si="14"/>
        <v>1.00463075247789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>
        <f t="shared" si="10"/>
        <v>91</v>
      </c>
      <c r="I119" s="31">
        <f>IF(H119=" "," ",($I$26-$D$3*$F$13)*((H119/$F$13)-($C$18/(PI()))*SIN((PI()*H119)/$F$13))+$D$3*H119)</f>
        <v>18.5529451357346</v>
      </c>
      <c r="J119" s="31">
        <f t="shared" si="14"/>
        <v>1.00410925823883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>
        <f t="shared" si="10"/>
        <v>92</v>
      </c>
      <c r="I120" s="31">
        <f>IF(H120=" "," ",($I$26-$D$3*$F$13)*((H120/$F$13)-($C$18/(PI()))*SIN((PI()*H120)/$F$13))+$D$3*H120)</f>
        <v>18.98573157735</v>
      </c>
      <c r="J120" s="31">
        <f t="shared" si="14"/>
        <v>1.00359013369765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>
        <f t="shared" si="10"/>
        <v>93</v>
      </c>
      <c r="I121" s="31">
        <f>IF(H121=" "," ",($I$26-$D$3*$F$13)*((H121/$F$13)-($C$18/(PI()))*SIN((PI()*H121)/$F$13))+$D$3*H121)</f>
        <v>19.4198480167514</v>
      </c>
      <c r="J121" s="31">
        <f t="shared" si="14"/>
        <v>1.00307310409514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>
        <f t="shared" si="10"/>
        <v>94</v>
      </c>
      <c r="I122" s="31">
        <f>IF(H122=" "," ",($I$26-$D$3*$F$13)*((H122/$F$13)-($C$18/(PI()))*SIN((PI()*H122)/$F$13))+$D$3*H122)</f>
        <v>19.8550748821299</v>
      </c>
      <c r="J122" s="31">
        <f t="shared" si="14"/>
        <v>1.00255789893279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>
        <f t="shared" si="10"/>
        <v>95</v>
      </c>
      <c r="I123" s="31">
        <f>IF(H123=" "," ",($I$26-$D$3*$F$13)*((H123/$F$13)-($C$18/(PI()))*SIN((PI()*H123)/$F$13))+$D$3*H123)</f>
        <v>20.2911914606387</v>
      </c>
      <c r="J123" s="31">
        <f t="shared" si="14"/>
        <v>1.0020442514033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>
        <f t="shared" si="10"/>
        <v>96</v>
      </c>
      <c r="I124" s="31">
        <f>IF(H124=" "," ",($I$26-$D$3*$F$13)*((H124/$F$13)-($C$18/(PI()))*SIN((PI()*H124)/$F$13))+$D$3*H124)</f>
        <v>20.7279761251907</v>
      </c>
      <c r="J124" s="31">
        <f t="shared" si="14"/>
        <v>1.00153189783671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>
        <f t="shared" si="10"/>
        <v>97</v>
      </c>
      <c r="I125" s="31">
        <f>IF(H125=" "," ",($I$26-$D$3*$F$13)*((H125/$F$13)-($C$18/(PI()))*SIN((PI()*H125)/$F$13))+$D$3*H125)</f>
        <v>21.1652065621951</v>
      </c>
      <c r="J125" s="31">
        <f t="shared" si="14"/>
        <v>1.00102057715997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>
        <f t="shared" si="10"/>
        <v>98</v>
      </c>
      <c r="I126" s="31">
        <f>IF(H126=" "," ",($I$26-$D$3*$F$13)*((H126/$F$13)-($C$18/(PI()))*SIN((PI()*H126)/$F$13))+$D$3*H126)</f>
        <v>21.60266</v>
      </c>
      <c r="J126" s="31">
        <f t="shared" si="14"/>
        <v>1.00051003036742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 t="str">
        <f t="shared" si="10"/>
        <v> </v>
      </c>
      <c r="I127" s="31" t="str">
        <f>IF(H127=" "," ",($I$26-$D$3*$F$13)*((H127/$F$13)-($C$18/(PI()))*SIN((PI()*H127)/$F$13))+$D$3*H127)</f>
        <v> </v>
      </c>
      <c r="J127" s="31" t="str">
        <f t="shared" si="14"/>
        <v> 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 t="str">
        <f t="shared" si="10"/>
        <v> </v>
      </c>
      <c r="I128" s="31" t="str">
        <f>IF(H128=" "," ",($I$26-$D$3*$F$13)*((H128/$F$13)-($C$18/(PI()))*SIN((PI()*H128)/$F$13))+$D$3*H128)</f>
        <v> </v>
      </c>
      <c r="J128" s="31" t="str">
        <f t="shared" si="14"/>
        <v> 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 t="str">
        <f t="shared" si="10"/>
        <v> </v>
      </c>
      <c r="I129" s="31" t="str">
        <f>IF(H129=" "," ",($I$26-$D$3*$F$13)*((H129/$F$13)-($C$18/(PI()))*SIN((PI()*H129)/$F$13))+$D$3*H129)</f>
        <v> </v>
      </c>
      <c r="J129" s="31" t="str">
        <f t="shared" si="14"/>
        <v> 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 t="str">
        <f t="shared" si="10"/>
        <v> </v>
      </c>
      <c r="I130" s="31" t="str">
        <f>IF(H130=" "," ",($I$26-$D$3*$F$13)*((H130/$F$13)-($C$18/(PI()))*SIN((PI()*H130)/$F$13))+$D$3*H130)</f>
        <v> </v>
      </c>
      <c r="J130" s="31" t="str">
        <f t="shared" si="14"/>
        <v> 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 t="str">
        <f t="shared" si="10"/>
        <v> </v>
      </c>
      <c r="I131" s="31" t="str">
        <f>IF(H131=" "," ",($I$26-$D$3*$F$13)*((H131/$F$13)-($C$18/(PI()))*SIN((PI()*H131)/$F$13))+$D$3*H131)</f>
        <v> </v>
      </c>
      <c r="J131" s="31" t="str">
        <f t="shared" si="14"/>
        <v> 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 t="str">
        <f t="shared" si="10"/>
        <v> </v>
      </c>
      <c r="I132" s="31" t="str">
        <f>IF(H132=" "," ",($I$26-$D$3*$F$13)*((H132/$F$13)-($C$18/(PI()))*SIN((PI()*H132)/$F$13))+$D$3*H132)</f>
        <v> </v>
      </c>
      <c r="J132" s="31" t="str">
        <f t="shared" si="14"/>
        <v> 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 t="str">
        <f t="shared" si="10"/>
        <v> </v>
      </c>
      <c r="I133" s="31" t="str">
        <f>IF(H133=" "," ",($I$26-$D$3*$F$13)*((H133/$F$13)-($C$18/(PI()))*SIN((PI()*H133)/$F$13))+$D$3*H133)</f>
        <v> </v>
      </c>
      <c r="J133" s="31" t="str">
        <f t="shared" si="14"/>
        <v> 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 t="str">
        <f t="shared" si="10"/>
        <v> </v>
      </c>
      <c r="I134" s="31" t="str">
        <f>IF(H134=" "," ",($I$26-$D$3*$F$13)*((H134/$F$13)-($C$18/(PI()))*SIN((PI()*H134)/$F$13))+$D$3*H134)</f>
        <v> </v>
      </c>
      <c r="J134" s="31" t="str">
        <f t="shared" si="14"/>
        <v> 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 t="str">
        <f t="shared" si="10"/>
        <v> </v>
      </c>
      <c r="I135" s="31" t="str">
        <f>IF(H135=" "," ",($I$26-$D$3*$F$13)*((H135/$F$13)-($C$18/(PI()))*SIN((PI()*H135)/$F$13))+$D$3*H135)</f>
        <v> </v>
      </c>
      <c r="J135" s="31" t="str">
        <f t="shared" si="14"/>
        <v> 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8"/>
  <sheetViews>
    <sheetView workbookViewId="0">
      <selection activeCell="D11" sqref="D11"/>
    </sheetView>
  </sheetViews>
  <sheetFormatPr defaultColWidth="8.7962962962963" defaultRowHeight="14.4"/>
  <cols>
    <col min="2" max="2" width="12.6296296296296"/>
    <col min="3" max="5" width="12.5"/>
    <col min="6" max="6" width="16.3981481481481"/>
    <col min="7" max="7" width="13.6018518518519"/>
    <col min="8" max="10" width="12.5"/>
    <col min="11" max="11" width="13.7962962962963"/>
    <col min="12" max="13" width="12.5"/>
  </cols>
  <sheetData>
    <row r="1" spans="1:6">
      <c r="A1" s="6" t="s">
        <v>108</v>
      </c>
      <c r="E1" s="32"/>
      <c r="F1" t="s">
        <v>109</v>
      </c>
    </row>
    <row r="2" spans="10:11">
      <c r="J2" s="7" t="s">
        <v>110</v>
      </c>
      <c r="K2" s="32">
        <v>3900</v>
      </c>
    </row>
    <row r="3" ht="17.4" spans="1:12">
      <c r="A3" s="7" t="s">
        <v>111</v>
      </c>
      <c r="B3" s="8">
        <v>0.00261</v>
      </c>
      <c r="C3" s="7" t="s">
        <v>112</v>
      </c>
      <c r="D3" s="8">
        <v>0.00261</v>
      </c>
      <c r="E3" s="7" t="s">
        <v>113</v>
      </c>
      <c r="F3" s="8">
        <f>D3*9</f>
        <v>0.02349</v>
      </c>
      <c r="J3" s="7" t="s">
        <v>114</v>
      </c>
      <c r="K3" s="39">
        <f>K5/K2</f>
        <v>0.000256410256410256</v>
      </c>
      <c r="L3" s="40" t="s">
        <v>115</v>
      </c>
    </row>
    <row r="4" spans="1:11">
      <c r="A4" s="7" t="s">
        <v>116</v>
      </c>
      <c r="B4" s="8">
        <f>B7/2</f>
        <v>12</v>
      </c>
      <c r="C4" s="7" t="s">
        <v>117</v>
      </c>
      <c r="D4" s="8">
        <v>12.9</v>
      </c>
      <c r="E4" s="7" t="s">
        <v>118</v>
      </c>
      <c r="F4" s="33">
        <f>B15/2</f>
        <v>1.5</v>
      </c>
      <c r="J4" s="7" t="s">
        <v>119</v>
      </c>
      <c r="K4" s="32">
        <v>1</v>
      </c>
    </row>
    <row r="5" spans="2:11">
      <c r="B5" s="9"/>
      <c r="D5" s="9"/>
      <c r="F5" s="9"/>
      <c r="J5" s="7" t="s">
        <v>120</v>
      </c>
      <c r="K5" s="32">
        <v>1</v>
      </c>
    </row>
    <row r="6" spans="2:6">
      <c r="B6" s="9"/>
      <c r="D6" s="9"/>
      <c r="F6" s="9"/>
    </row>
    <row r="7" ht="15.15" spans="1:11">
      <c r="A7" s="7" t="s">
        <v>121</v>
      </c>
      <c r="B7" s="10">
        <v>24</v>
      </c>
      <c r="C7" s="7" t="s">
        <v>122</v>
      </c>
      <c r="D7" s="10">
        <v>1.50336</v>
      </c>
      <c r="E7" s="7"/>
      <c r="F7" s="17"/>
      <c r="J7" s="7" t="s">
        <v>123</v>
      </c>
      <c r="K7">
        <f>(2*LOG10(K2)-0.65)^-2.3</f>
        <v>0.0133467042108707</v>
      </c>
    </row>
    <row r="8" ht="15.15" spans="1:11">
      <c r="A8" s="11" t="s">
        <v>124</v>
      </c>
      <c r="B8" s="12">
        <f>D8+F8+F9</f>
        <v>748</v>
      </c>
      <c r="C8" s="11" t="s">
        <v>125</v>
      </c>
      <c r="D8" s="12">
        <f>D7/B3</f>
        <v>576</v>
      </c>
      <c r="E8" s="7" t="s">
        <v>126</v>
      </c>
      <c r="F8" s="34">
        <v>86</v>
      </c>
      <c r="G8" t="s">
        <v>127</v>
      </c>
      <c r="J8" s="7" t="s">
        <v>128</v>
      </c>
      <c r="K8">
        <f>0.5*K7*K4*K5^2</f>
        <v>0.00667335210543537</v>
      </c>
    </row>
    <row r="9" ht="15.15" spans="1:11">
      <c r="A9" s="11" t="s">
        <v>129</v>
      </c>
      <c r="B9" s="12">
        <f>F8</f>
        <v>86</v>
      </c>
      <c r="C9" s="13"/>
      <c r="D9" s="14"/>
      <c r="E9" s="7" t="s">
        <v>130</v>
      </c>
      <c r="F9" s="34">
        <v>86</v>
      </c>
      <c r="G9" t="s">
        <v>127</v>
      </c>
      <c r="J9" s="7" t="s">
        <v>131</v>
      </c>
      <c r="K9">
        <f>SQRT(K8/K4)</f>
        <v>0.0816905876183748</v>
      </c>
    </row>
    <row r="10" ht="15.15" spans="1:10">
      <c r="A10" s="7"/>
      <c r="B10" s="9"/>
      <c r="C10" s="7"/>
      <c r="D10" s="9"/>
      <c r="E10" s="7"/>
      <c r="F10" s="9"/>
      <c r="J10" s="7"/>
    </row>
    <row r="11" ht="15.15" spans="1:11">
      <c r="A11" s="7" t="s">
        <v>132</v>
      </c>
      <c r="B11" s="10">
        <v>36</v>
      </c>
      <c r="C11" s="7" t="s">
        <v>133</v>
      </c>
      <c r="D11" s="10">
        <v>2.99628</v>
      </c>
      <c r="E11" s="7"/>
      <c r="J11" s="41" t="s">
        <v>134</v>
      </c>
      <c r="K11" s="42">
        <f>(B3*K9)/K3</f>
        <v>0.831528491367437</v>
      </c>
    </row>
    <row r="12" ht="15.15" spans="1:11">
      <c r="A12" s="11" t="s">
        <v>135</v>
      </c>
      <c r="B12" s="12">
        <f>D12+F13+F12</f>
        <v>1341</v>
      </c>
      <c r="C12" s="15" t="s">
        <v>136</v>
      </c>
      <c r="D12" s="12">
        <f>D11/D3</f>
        <v>1148</v>
      </c>
      <c r="E12" s="7" t="s">
        <v>137</v>
      </c>
      <c r="F12" s="34">
        <v>86</v>
      </c>
      <c r="G12" t="s">
        <v>127</v>
      </c>
      <c r="J12" s="43" t="s">
        <v>138</v>
      </c>
      <c r="K12" s="29">
        <f>(1-EXP(-1*K11/25))</f>
        <v>0.0327140701090738</v>
      </c>
    </row>
    <row r="13" ht="15.15" spans="1:7">
      <c r="A13" s="11" t="s">
        <v>139</v>
      </c>
      <c r="B13" s="12">
        <f>F12</f>
        <v>86</v>
      </c>
      <c r="C13" s="13"/>
      <c r="D13" s="14"/>
      <c r="E13" s="7" t="s">
        <v>140</v>
      </c>
      <c r="F13" s="34">
        <v>107</v>
      </c>
      <c r="G13" t="s">
        <v>127</v>
      </c>
    </row>
    <row r="14" ht="15.15" spans="1:11">
      <c r="A14" s="13"/>
      <c r="B14" s="14"/>
      <c r="C14" s="13"/>
      <c r="D14" s="14"/>
      <c r="E14" s="7"/>
      <c r="F14" s="20"/>
      <c r="J14" s="35" t="s">
        <v>141</v>
      </c>
      <c r="K14" s="44">
        <v>0.000261</v>
      </c>
    </row>
    <row r="15" ht="15.15" spans="1:11">
      <c r="A15" s="7" t="s">
        <v>142</v>
      </c>
      <c r="B15" s="10">
        <v>3</v>
      </c>
      <c r="C15" s="16"/>
      <c r="D15" s="17"/>
      <c r="E15" s="16"/>
      <c r="F15" s="17"/>
      <c r="J15" s="11" t="s">
        <v>143</v>
      </c>
      <c r="K15" s="45">
        <f>K14/B3</f>
        <v>0.1</v>
      </c>
    </row>
    <row r="16" ht="15.15" spans="1:6">
      <c r="A16" s="11" t="s">
        <v>144</v>
      </c>
      <c r="B16" s="12">
        <f>EVEN(B15/F3)</f>
        <v>128</v>
      </c>
      <c r="C16" s="18"/>
      <c r="D16" s="19"/>
      <c r="E16" s="16"/>
      <c r="F16" s="17"/>
    </row>
    <row r="17" spans="10:11">
      <c r="J17" s="46"/>
      <c r="K17" s="47"/>
    </row>
    <row r="18" spans="1:3">
      <c r="A18" t="s">
        <v>145</v>
      </c>
      <c r="C18" s="8">
        <v>1</v>
      </c>
    </row>
    <row r="19" ht="15.15" spans="3:3">
      <c r="C19" s="20"/>
    </row>
    <row r="20" spans="1:9">
      <c r="A20" s="21" t="s">
        <v>146</v>
      </c>
      <c r="B20" s="22"/>
      <c r="C20" s="23">
        <f>ROUND(MAX(F28:F528),3)</f>
        <v>1.196</v>
      </c>
      <c r="G20" s="35" t="s">
        <v>147</v>
      </c>
      <c r="H20" s="36">
        <f>(B8*B12*B16)/1000000</f>
        <v>128.392704</v>
      </c>
      <c r="I20">
        <v>0.54</v>
      </c>
    </row>
    <row r="21" spans="1:8">
      <c r="A21" s="24" t="s">
        <v>148</v>
      </c>
      <c r="B21" s="25"/>
      <c r="C21" s="26">
        <f>ROUND(MAX(C29:C529),3)</f>
        <v>1.196</v>
      </c>
      <c r="G21" s="35"/>
      <c r="H21" s="36"/>
    </row>
    <row r="22" spans="1:7">
      <c r="A22" s="24" t="s">
        <v>149</v>
      </c>
      <c r="B22" s="25"/>
      <c r="C22" s="26">
        <f>ROUND(MAX(M28:M528),3)</f>
        <v>1.197</v>
      </c>
      <c r="G22" s="37"/>
    </row>
    <row r="23" ht="15.15" spans="1:6">
      <c r="A23" s="27" t="s">
        <v>150</v>
      </c>
      <c r="B23" s="28"/>
      <c r="C23" s="29">
        <f>ROUND(MAX(J28:J528),3)</f>
        <v>1.197</v>
      </c>
      <c r="F23" t="s">
        <v>87</v>
      </c>
    </row>
    <row r="25" spans="1:13">
      <c r="A25" s="30" t="s">
        <v>151</v>
      </c>
      <c r="B25" s="30"/>
      <c r="C25" s="30"/>
      <c r="D25" s="30" t="s">
        <v>152</v>
      </c>
      <c r="E25" s="30"/>
      <c r="F25" s="30"/>
      <c r="G25" s="38"/>
      <c r="H25" s="30" t="s">
        <v>153</v>
      </c>
      <c r="I25" s="30"/>
      <c r="J25" s="30"/>
      <c r="K25" s="30" t="s">
        <v>154</v>
      </c>
      <c r="L25" s="30"/>
      <c r="M25" s="30"/>
    </row>
    <row r="26" spans="1:12">
      <c r="A26" s="7" t="s">
        <v>155</v>
      </c>
      <c r="B26" s="9">
        <f>B7-(B4+D7*0.5)</f>
        <v>11.24832</v>
      </c>
      <c r="D26" s="7" t="s">
        <v>155</v>
      </c>
      <c r="E26" s="9">
        <f>B4-D7*0.5</f>
        <v>11.24832</v>
      </c>
      <c r="H26" s="7" t="s">
        <v>155</v>
      </c>
      <c r="I26" s="9">
        <f>B11-(D4+D11*0.5)</f>
        <v>21.60186</v>
      </c>
      <c r="K26" s="7" t="s">
        <v>155</v>
      </c>
      <c r="L26" s="9">
        <f>D4-D11*0.5</f>
        <v>11.40186</v>
      </c>
    </row>
    <row r="28" spans="1:13">
      <c r="A28" s="31">
        <v>0</v>
      </c>
      <c r="B28" s="31">
        <f>IF(A28=" "," ",($B$26-$B$3*($F$8/2))*((A28/($F$8/2))-($C$18/(PI()))*SIN((PI()*A28)/($F$8/2)))+$B$3*A28)</f>
        <v>0</v>
      </c>
      <c r="C28" s="31"/>
      <c r="D28" s="31">
        <v>0</v>
      </c>
      <c r="E28" s="31">
        <f>IF(D28=" "," ",($E$26-$B$3*($F$8))*((D28/($F$8))-($C$18/(PI()))*SIN((PI()*D28)/($F$8)))+$B$3*D28)</f>
        <v>0</v>
      </c>
      <c r="F28" s="31"/>
      <c r="G28" s="31"/>
      <c r="H28" s="31">
        <v>0</v>
      </c>
      <c r="I28" s="31">
        <f>IF(H28=" "," ",($I$26-$D$3*$F$13)*((H28/$F$13)-($C$18/(PI()))*SIN((PI()*H28)/$F$13))+$D$3*H28)</f>
        <v>0</v>
      </c>
      <c r="J28" s="31"/>
      <c r="K28" s="31">
        <v>0</v>
      </c>
      <c r="L28" s="31">
        <f>IF(K28=" "," ",($I$26-$D$3*$F$13)*((K28/$F$13)-($C$18/(PI()))*SIN((PI()*K28)/$F$13))+$D$3*K28)</f>
        <v>0</v>
      </c>
      <c r="M28" s="31"/>
    </row>
    <row r="29" spans="1:13">
      <c r="A29" s="31">
        <f t="shared" ref="A29:A92" si="0">IF(($F$9)-ROW(A1)&gt;=0,($F$9)-(($F$9)-ROW(A1))," ")</f>
        <v>1</v>
      </c>
      <c r="B29" s="31">
        <f>IF(A29=" "," ",($B$26-$B$3*($F$9))*((A29/($F$9))-($C$18/(PI()))*SIN((PI()*A29)/($F$9)))+$B$3*A29)</f>
        <v>0.00263850741599029</v>
      </c>
      <c r="C29" s="31"/>
      <c r="D29" s="31">
        <f t="shared" ref="D29:D92" si="1">IF(($F$8)-ROW(D1)&gt;=0,($F$8)-(($F$8)-ROW(D1))," ")</f>
        <v>1</v>
      </c>
      <c r="E29" s="31">
        <f>IF(D29=" "," ",($E$26-$B$3*($F$8))*((D29/($F$8))-($C$18/(PI()))*SIN((PI()*D29)/($F$8)))+$B$3*D29)</f>
        <v>0.00263850741599029</v>
      </c>
      <c r="F29" s="31"/>
      <c r="G29" s="31"/>
      <c r="H29" s="31">
        <f t="shared" ref="H29:H92" si="2">IF($F$13-ROW(H1)&gt;=0,$F$13-($F$13-ROW(H1))," ")</f>
        <v>1</v>
      </c>
      <c r="I29" s="31">
        <f>IF(H29=" "," ",($I$26-$D$3*$F$13)*((H29/$F$13)-($C$18/(PI()))*SIN((PI()*H29)/$F$13))+$D$3*H29)</f>
        <v>0.00263862980558915</v>
      </c>
      <c r="J29" s="31"/>
      <c r="K29" s="31">
        <f t="shared" ref="K29:K92" si="3">IF($F$12-ROW(K1)&gt;=0,$F$12-($F$12-ROW(K1))," ")</f>
        <v>1</v>
      </c>
      <c r="L29" s="31">
        <f>IF(K29=" "," ",($L$26-$D$3*$F$12)*((K29/$F$12)-($C$18/(PI()))*SIN((PI()*K29)/$F$12))+$D$3*K29)</f>
        <v>0.00263890446644731</v>
      </c>
      <c r="M29" s="31"/>
    </row>
    <row r="30" spans="1:13">
      <c r="A30" s="31">
        <f t="shared" si="0"/>
        <v>2</v>
      </c>
      <c r="B30" s="31">
        <f>IF(A30=" "," ",($B$26-$B$3*($F$9))*((A30/($F$9))-($C$18/(PI()))*SIN((PI()*A30)/($F$9)))+$B$3*A30)</f>
        <v>0.00544801368200652</v>
      </c>
      <c r="C30" s="31">
        <f t="shared" ref="C30:C93" si="4">IF(A30=" "," ",(B30-B29)/(B29-B28))</f>
        <v>1.06480893287986</v>
      </c>
      <c r="D30" s="31">
        <f t="shared" si="1"/>
        <v>2</v>
      </c>
      <c r="E30" s="31">
        <f>IF(D30=" "," ",($E$26-$B$3*($F$8))*((D30/($F$8))-($C$18/(PI()))*SIN((PI()*D30)/($F$8)))+$B$3*D30)</f>
        <v>0.00544801368200652</v>
      </c>
      <c r="F30" s="31">
        <f t="shared" ref="F30:F93" si="5">IF(D30=" "," ",(E30-E29)/(E29-E28))</f>
        <v>1.06480893287986</v>
      </c>
      <c r="G30" s="31"/>
      <c r="H30" s="31">
        <f t="shared" si="2"/>
        <v>2</v>
      </c>
      <c r="I30" s="31">
        <f>IF(H30=" "," ",($I$26-$D$3*$F$13)*((H30/$F$13)-($C$18/(PI()))*SIN((PI()*H30)/$F$13))+$D$3*H30)</f>
        <v>0.0054490088301053</v>
      </c>
      <c r="J30" s="31">
        <f t="shared" ref="J30:J93" si="6">IF(H30=" "," ",(I30-I29)/(I29-I28))</f>
        <v>1.06509030503756</v>
      </c>
      <c r="K30" s="31">
        <f t="shared" si="3"/>
        <v>2</v>
      </c>
      <c r="L30" s="31">
        <f>IF(K30=" "," ",($L$26-$D$3*$F$12)*((K30/$F$12)-($C$18/(PI()))*SIN((PI()*K30)/$F$12))+$D$3*K30)</f>
        <v>0.00545118944990772</v>
      </c>
      <c r="M30" s="31">
        <f t="shared" ref="M30:M93" si="7">IF(K30=" "," ",(L30-L29)/(L29-L28))</f>
        <v>1.06570170281553</v>
      </c>
    </row>
    <row r="31" spans="1:13">
      <c r="A31" s="31">
        <f t="shared" si="0"/>
        <v>3</v>
      </c>
      <c r="B31" s="31">
        <f>IF(A31=" "," ",($B$26-$B$3*($F$9))*((A31/($F$9))-($C$18/(PI()))*SIN((PI()*A31)/($F$9)))+$B$3*A31)</f>
        <v>0.00859928948375173</v>
      </c>
      <c r="C31" s="31">
        <f t="shared" si="4"/>
        <v>1.12164754350721</v>
      </c>
      <c r="D31" s="31">
        <f t="shared" si="1"/>
        <v>3</v>
      </c>
      <c r="E31" s="31">
        <f>IF(D31=" "," ",($E$26-$B$3*($F$8))*((D31/($F$8))-($C$18/(PI()))*SIN((PI()*D31)/($F$8)))+$B$3*D31)</f>
        <v>0.00859928948375173</v>
      </c>
      <c r="F31" s="31">
        <f t="shared" si="5"/>
        <v>1.12164754350721</v>
      </c>
      <c r="G31" s="31"/>
      <c r="H31" s="31">
        <f t="shared" si="2"/>
        <v>3</v>
      </c>
      <c r="I31" s="31">
        <f>IF(H31=" "," ",($I$26-$D$3*$F$13)*((H31/$F$13)-($C$18/(PI()))*SIN((PI()*H31)/$F$13))+$D$3*H31)</f>
        <v>0.00860273824678779</v>
      </c>
      <c r="J31" s="31">
        <f t="shared" si="6"/>
        <v>1.12217227255511</v>
      </c>
      <c r="K31" s="31">
        <f t="shared" si="3"/>
        <v>3</v>
      </c>
      <c r="L31" s="31">
        <f>IF(K31=" "," ",($L$26-$D$3*$F$12)*((K31/$F$12)-($C$18/(PI()))*SIN((PI()*K31)/$F$12))+$D$3*K31)</f>
        <v>0.00861000412520539</v>
      </c>
      <c r="M31" s="31">
        <f t="shared" si="7"/>
        <v>1.12321997730503</v>
      </c>
    </row>
    <row r="32" spans="1:13">
      <c r="A32" s="31">
        <f t="shared" si="0"/>
        <v>4</v>
      </c>
      <c r="B32" s="31">
        <f>IF(A32=" "," ",($B$26-$B$3*($F$9))*((A32/($F$9))-($C$18/(PI()))*SIN((PI()*A32)/($F$9)))+$B$3*A32)</f>
        <v>0.0122626494827233</v>
      </c>
      <c r="C32" s="31">
        <f t="shared" si="4"/>
        <v>1.16250059640693</v>
      </c>
      <c r="D32" s="31">
        <f t="shared" si="1"/>
        <v>4</v>
      </c>
      <c r="E32" s="31">
        <f>IF(D32=" "," ",($E$26-$B$3*($F$8))*((D32/($F$8))-($C$18/(PI()))*SIN((PI()*D32)/($F$8)))+$B$3*D32)</f>
        <v>0.0122626494827233</v>
      </c>
      <c r="F32" s="31">
        <f t="shared" si="5"/>
        <v>1.16250059640693</v>
      </c>
      <c r="G32" s="31"/>
      <c r="H32" s="31">
        <f t="shared" si="2"/>
        <v>4</v>
      </c>
      <c r="I32" s="31">
        <f>IF(H32=" "," ",($I$26-$D$3*$F$13)*((H32/$F$13)-($C$18/(PI()))*SIN((PI()*H32)/$F$13))+$D$3*H32)</f>
        <v>0.012271123265114</v>
      </c>
      <c r="J32" s="31">
        <f t="shared" si="6"/>
        <v>1.16318952378139</v>
      </c>
      <c r="K32" s="31">
        <f t="shared" si="3"/>
        <v>4</v>
      </c>
      <c r="L32" s="31">
        <f>IF(K32=" "," ",($L$26-$D$3*$F$12)*((K32/$F$12)-($C$18/(PI()))*SIN((PI()*K32)/$F$12))+$D$3*K32)</f>
        <v>0.012288035291467</v>
      </c>
      <c r="M32" s="31">
        <f t="shared" si="7"/>
        <v>1.16437067201956</v>
      </c>
    </row>
    <row r="33" spans="1:13">
      <c r="A33" s="31">
        <f t="shared" si="0"/>
        <v>5</v>
      </c>
      <c r="B33" s="31">
        <f>IF(A33=" "," ",($B$26-$B$3*($F$9))*((A33/($F$9))-($C$18/(PI()))*SIN((PI()*A33)/($F$9)))+$B$3*A33)</f>
        <v>0.0166077250648053</v>
      </c>
      <c r="C33" s="31">
        <f t="shared" si="4"/>
        <v>1.18609025138176</v>
      </c>
      <c r="D33" s="31">
        <f t="shared" si="1"/>
        <v>5</v>
      </c>
      <c r="E33" s="31">
        <f>IF(D33=" "," ",($E$26-$B$3*($F$8))*((D33/($F$8))-($C$18/(PI()))*SIN((PI()*D33)/($F$8)))+$B$3*D33)</f>
        <v>0.0166077250648053</v>
      </c>
      <c r="F33" s="31">
        <f t="shared" si="5"/>
        <v>1.18609025138176</v>
      </c>
      <c r="G33" s="31"/>
      <c r="H33" s="31">
        <f t="shared" si="2"/>
        <v>5</v>
      </c>
      <c r="I33" s="31">
        <f>IF(H33=" "," ",($I$26-$D$3*$F$13)*((H33/$F$13)-($C$18/(PI()))*SIN((PI()*H33)/$F$13))+$D$3*H33)</f>
        <v>0.0166250254678424</v>
      </c>
      <c r="J33" s="31">
        <f t="shared" si="6"/>
        <v>1.18687165632218</v>
      </c>
      <c r="K33" s="31">
        <f t="shared" si="3"/>
        <v>5</v>
      </c>
      <c r="L33" s="31">
        <f>IF(K33=" "," ",($L$26-$D$3*$F$12)*((K33/$F$12)-($C$18/(PI()))*SIN((PI()*K33)/$F$12))+$D$3*K33)</f>
        <v>0.0166572769555632</v>
      </c>
      <c r="M33" s="31">
        <f t="shared" si="7"/>
        <v>1.18792948362566</v>
      </c>
    </row>
    <row r="34" spans="1:13">
      <c r="A34" s="31">
        <f t="shared" si="0"/>
        <v>6</v>
      </c>
      <c r="B34" s="31">
        <f>IF(A34=" "," ",($B$26-$B$3*($F$9))*((A34/($F$9))-($C$18/(PI()))*SIN((PI()*A34)/($F$9)))+$B$3*A34)</f>
        <v>0.0218032380005567</v>
      </c>
      <c r="C34" s="31">
        <f t="shared" si="4"/>
        <v>1.19572440976087</v>
      </c>
      <c r="D34" s="31">
        <f t="shared" si="1"/>
        <v>6</v>
      </c>
      <c r="E34" s="31">
        <f>IF(D34=" "," ",($E$26-$B$3*($F$8))*((D34/($F$8))-($C$18/(PI()))*SIN((PI()*D34)/($F$8)))+$B$3*D34)</f>
        <v>0.0218032380005567</v>
      </c>
      <c r="F34" s="31">
        <f t="shared" si="5"/>
        <v>1.19572440976087</v>
      </c>
      <c r="G34" s="31"/>
      <c r="H34" s="31">
        <f t="shared" si="2"/>
        <v>6</v>
      </c>
      <c r="I34" s="31">
        <f>IF(H34=" "," ",($I$26-$D$3*$F$13)*((H34/$F$13)-($C$18/(PI()))*SIN((PI()*H34)/$F$13))+$D$3*H34)</f>
        <v>0.0218347155304552</v>
      </c>
      <c r="J34" s="31">
        <f t="shared" si="6"/>
        <v>1.19655651873581</v>
      </c>
      <c r="K34" s="31">
        <f t="shared" si="3"/>
        <v>6</v>
      </c>
      <c r="L34" s="31">
        <f>IF(K34=" "," ",($L$26-$D$3*$F$12)*((K34/$F$12)-($C$18/(PI()))*SIN((PI()*K34)/$F$12))+$D$3*K34)</f>
        <v>0.0218888008399438</v>
      </c>
      <c r="M34" s="31">
        <f t="shared" si="7"/>
        <v>1.19735283295728</v>
      </c>
    </row>
    <row r="35" spans="1:13">
      <c r="A35" s="31">
        <f t="shared" si="0"/>
        <v>7</v>
      </c>
      <c r="B35" s="31">
        <f>IF(A35=" "," ",($B$26-$B$3*($F$9))*((A35/($F$9))-($C$18/(PI()))*SIN((PI()*A35)/($F$9)))+$B$3*A35)</f>
        <v>0.0280167753192043</v>
      </c>
      <c r="C35" s="31">
        <f t="shared" si="4"/>
        <v>1.19594299840753</v>
      </c>
      <c r="D35" s="31">
        <f t="shared" si="1"/>
        <v>7</v>
      </c>
      <c r="E35" s="31">
        <f>IF(D35=" "," ",($E$26-$B$3*($F$8))*((D35/($F$8))-($C$18/(PI()))*SIN((PI()*D35)/($F$8)))+$B$3*D35)</f>
        <v>0.0280167753192043</v>
      </c>
      <c r="F35" s="31">
        <f t="shared" si="5"/>
        <v>1.19594299840753</v>
      </c>
      <c r="G35" s="31"/>
      <c r="H35" s="31">
        <f t="shared" si="2"/>
        <v>7</v>
      </c>
      <c r="I35" s="31">
        <f>IF(H35=" "," ",($I$26-$D$3*$F$13)*((H35/$F$13)-($C$18/(PI()))*SIN((PI()*H35)/$F$13))+$D$3*H35)</f>
        <v>0.0280697264499585</v>
      </c>
      <c r="J35" s="31">
        <f t="shared" si="6"/>
        <v>1.19681033700041</v>
      </c>
      <c r="K35" s="31">
        <f t="shared" si="3"/>
        <v>7</v>
      </c>
      <c r="L35" s="31">
        <f>IF(K35=" "," ",($L$26-$D$3*$F$12)*((K35/$F$12)-($C$18/(PI()))*SIN((PI()*K35)/$F$12))+$D$3*K35)</f>
        <v>0.0281525281210823</v>
      </c>
      <c r="M35" s="31">
        <f t="shared" si="7"/>
        <v>1.19730453679849</v>
      </c>
    </row>
    <row r="36" spans="1:13">
      <c r="A36" s="31">
        <f t="shared" si="0"/>
        <v>8</v>
      </c>
      <c r="B36" s="31">
        <f>IF(A36=" "," ",($B$26-$B$3*($F$9))*((A36/($F$9))-($C$18/(PI()))*SIN((PI()*A36)/($F$9)))+$B$3*A36)</f>
        <v>0.0354145656967217</v>
      </c>
      <c r="C36" s="31">
        <f t="shared" si="4"/>
        <v>1.19059241107567</v>
      </c>
      <c r="D36" s="31">
        <f t="shared" si="1"/>
        <v>8</v>
      </c>
      <c r="E36" s="31">
        <f>IF(D36=" "," ",($E$26-$B$3*($F$8))*((D36/($F$8))-($C$18/(PI()))*SIN((PI()*D36)/($F$8)))+$B$3*D36)</f>
        <v>0.0354145656967217</v>
      </c>
      <c r="F36" s="31">
        <f t="shared" si="5"/>
        <v>1.19059241107567</v>
      </c>
      <c r="G36" s="31"/>
      <c r="H36" s="31">
        <f t="shared" si="2"/>
        <v>8</v>
      </c>
      <c r="I36" s="31">
        <f>IF(H36=" "," ",($I$26-$D$3*$F$13)*((H36/$F$13)-($C$18/(PI()))*SIN((PI()*H36)/$F$13))+$D$3*H36)</f>
        <v>0.0354987074095477</v>
      </c>
      <c r="J36" s="31">
        <f t="shared" si="6"/>
        <v>1.19149445855037</v>
      </c>
      <c r="K36" s="31">
        <f t="shared" si="3"/>
        <v>8</v>
      </c>
      <c r="L36" s="31">
        <f>IF(K36=" "," ",($L$26-$D$3*$F$12)*((K36/$F$12)-($C$18/(PI()))*SIN((PI()*K36)/$F$12))+$D$3*K36)</f>
        <v>0.0356170027030947</v>
      </c>
      <c r="M36" s="31">
        <f t="shared" si="7"/>
        <v>1.19169852820532</v>
      </c>
    </row>
    <row r="37" spans="1:13">
      <c r="A37" s="31">
        <f t="shared" si="0"/>
        <v>9</v>
      </c>
      <c r="B37" s="31">
        <f>IF(A37=" "," ",($B$26-$B$3*($F$9))*((A37/($F$9))-($C$18/(PI()))*SIN((PI()*A37)/($F$9)))+$B$3*A37)</f>
        <v>0.0441612576563665</v>
      </c>
      <c r="C37" s="31">
        <f t="shared" si="4"/>
        <v>1.18233844341236</v>
      </c>
      <c r="D37" s="31">
        <f t="shared" si="1"/>
        <v>9</v>
      </c>
      <c r="E37" s="31">
        <f>IF(D37=" "," ",($E$26-$B$3*($F$8))*((D37/($F$8))-($C$18/(PI()))*SIN((PI()*D37)/($F$8)))+$B$3*D37)</f>
        <v>0.0441612576563665</v>
      </c>
      <c r="F37" s="31">
        <f t="shared" si="5"/>
        <v>1.18233844341236</v>
      </c>
      <c r="G37" s="31"/>
      <c r="H37" s="31">
        <f t="shared" si="2"/>
        <v>9</v>
      </c>
      <c r="I37" s="31">
        <f>IF(H37=" "," ",($I$26-$D$3*$F$13)*((H37/$F$13)-($C$18/(PI()))*SIN((PI()*H37)/$F$13))+$D$3*H37)</f>
        <v>0.0442892784051147</v>
      </c>
      <c r="J37" s="31">
        <f t="shared" si="6"/>
        <v>1.1832808622588</v>
      </c>
      <c r="K37" s="31">
        <f t="shared" si="3"/>
        <v>9</v>
      </c>
      <c r="L37" s="31">
        <f>IF(K37=" "," ",($L$26-$D$3*$F$12)*((K37/$F$12)-($C$18/(PI()))*SIN((PI()*K37)/$F$12))+$D$3*K37)</f>
        <v>0.0444491663290599</v>
      </c>
      <c r="M37" s="31">
        <f t="shared" si="7"/>
        <v>1.18322643193786</v>
      </c>
    </row>
    <row r="38" spans="1:13">
      <c r="A38" s="31">
        <f t="shared" si="0"/>
        <v>10</v>
      </c>
      <c r="B38" s="31">
        <f>IF(A38=" "," ",($B$26-$B$3*($F$9))*((A38/($F$9))-($C$18/(PI()))*SIN((PI()*A38)/($F$9)))+$B$3*A38)</f>
        <v>0.0544196998776183</v>
      </c>
      <c r="C38" s="31">
        <f t="shared" si="4"/>
        <v>1.17283680145385</v>
      </c>
      <c r="D38" s="31">
        <f t="shared" si="1"/>
        <v>10</v>
      </c>
      <c r="E38" s="31">
        <f>IF(D38=" "," ",($E$26-$B$3*($F$8))*((D38/($F$8))-($C$18/(PI()))*SIN((PI()*D38)/($F$8)))+$B$3*D38)</f>
        <v>0.0544196998776183</v>
      </c>
      <c r="F38" s="31">
        <f t="shared" si="5"/>
        <v>1.17283680145385</v>
      </c>
      <c r="G38" s="31"/>
      <c r="H38" s="31">
        <f t="shared" si="2"/>
        <v>10</v>
      </c>
      <c r="I38" s="31">
        <f>IF(H38=" "," ",($I$26-$D$3*$F$13)*((H38/$F$13)-($C$18/(PI()))*SIN((PI()*H38)/$F$13))+$D$3*H38)</f>
        <v>0.054607885758897</v>
      </c>
      <c r="J38" s="31">
        <f t="shared" si="6"/>
        <v>1.17382674674785</v>
      </c>
      <c r="K38" s="31">
        <f t="shared" si="3"/>
        <v>10</v>
      </c>
      <c r="L38" s="31">
        <f>IF(K38=" "," ",($L$26-$D$3*$F$12)*((K38/$F$12)-($C$18/(PI()))*SIN((PI()*K38)/$F$12))+$D$3*K38)</f>
        <v>0.0548141358301077</v>
      </c>
      <c r="M38" s="31">
        <f t="shared" si="7"/>
        <v>1.17354817460314</v>
      </c>
    </row>
    <row r="39" spans="1:13">
      <c r="A39" s="31">
        <f t="shared" si="0"/>
        <v>11</v>
      </c>
      <c r="B39" s="31">
        <f>IF(A39=" "," ",($B$26-$B$3*($F$9))*((A39/($F$9))-($C$18/(PI()))*SIN((PI()*A39)/($F$9)))+$B$3*A39)</f>
        <v>0.0663507239066551</v>
      </c>
      <c r="C39" s="31">
        <f t="shared" si="4"/>
        <v>1.16304442445656</v>
      </c>
      <c r="D39" s="31">
        <f t="shared" si="1"/>
        <v>11</v>
      </c>
      <c r="E39" s="31">
        <f>IF(D39=" "," ",($E$26-$B$3*($F$8))*((D39/($F$8))-($C$18/(PI()))*SIN((PI()*D39)/($F$8)))+$B$3*D39)</f>
        <v>0.0663507239066551</v>
      </c>
      <c r="F39" s="31">
        <f t="shared" si="5"/>
        <v>1.16304442445656</v>
      </c>
      <c r="G39" s="31"/>
      <c r="H39" s="31">
        <f t="shared" si="2"/>
        <v>11</v>
      </c>
      <c r="I39" s="31">
        <f>IF(H39=" "," ",($I$26-$D$3*$F$13)*((H39/$F$13)-($C$18/(PI()))*SIN((PI()*H39)/$F$13))+$D$3*H39)</f>
        <v>0.0666196586448217</v>
      </c>
      <c r="J39" s="31">
        <f t="shared" si="6"/>
        <v>1.16408857068505</v>
      </c>
      <c r="K39" s="31">
        <f t="shared" si="3"/>
        <v>11</v>
      </c>
      <c r="L39" s="31">
        <f>IF(K39=" "," ",($L$26-$D$3*$F$12)*((K39/$F$12)-($C$18/(PI()))*SIN((PI()*K39)/$F$12))+$D$3*K39)</f>
        <v>0.066874982809492</v>
      </c>
      <c r="M39" s="31">
        <f t="shared" si="7"/>
        <v>1.16361625359005</v>
      </c>
    </row>
    <row r="40" spans="1:13">
      <c r="A40" s="31">
        <f t="shared" si="0"/>
        <v>12</v>
      </c>
      <c r="B40" s="31">
        <f>IF(A40=" "," ",($B$26-$B$3*($F$9))*((A40/($F$9))-($C$18/(PI()))*SIN((PI()*A40)/($F$9)))+$B$3*A40)</f>
        <v>0.0801129295582962</v>
      </c>
      <c r="C40" s="31">
        <f t="shared" si="4"/>
        <v>1.15348067509945</v>
      </c>
      <c r="D40" s="31">
        <f t="shared" si="1"/>
        <v>12</v>
      </c>
      <c r="E40" s="31">
        <f>IF(D40=" "," ",($E$26-$B$3*($F$8))*((D40/($F$8))-($C$18/(PI()))*SIN((PI()*D40)/($F$8)))+$B$3*D40)</f>
        <v>0.0801129295582962</v>
      </c>
      <c r="F40" s="31">
        <f t="shared" si="5"/>
        <v>1.15348067509945</v>
      </c>
      <c r="G40" s="31"/>
      <c r="H40" s="31">
        <f t="shared" si="2"/>
        <v>12</v>
      </c>
      <c r="I40" s="31">
        <f>IF(H40=" "," ",($I$26-$D$3*$F$13)*((H40/$F$13)-($C$18/(PI()))*SIN((PI()*H40)/$F$13))+$D$3*H40)</f>
        <v>0.0804882667492132</v>
      </c>
      <c r="J40" s="31">
        <f t="shared" si="6"/>
        <v>1.15458460929132</v>
      </c>
      <c r="K40" s="31">
        <f t="shared" si="3"/>
        <v>12</v>
      </c>
      <c r="L40" s="31">
        <f>IF(K40=" "," ",($L$26-$D$3*$F$12)*((K40/$F$12)-($C$18/(PI()))*SIN((PI()*K40)/$F$12))+$D$3*K40)</f>
        <v>0.0807925160556193</v>
      </c>
      <c r="M40" s="31">
        <f t="shared" si="7"/>
        <v>1.15394327362885</v>
      </c>
    </row>
    <row r="41" spans="1:13">
      <c r="A41" s="31">
        <f t="shared" si="0"/>
        <v>13</v>
      </c>
      <c r="B41" s="31">
        <f>IF(A41=" "," ",($B$26-$B$3*($F$9))*((A41/($F$9))-($C$18/(PI()))*SIN((PI()*A41)/($F$9)))+$B$3*A41)</f>
        <v>0.0958624732957545</v>
      </c>
      <c r="C41" s="31">
        <f t="shared" si="4"/>
        <v>1.14440549255855</v>
      </c>
      <c r="D41" s="31">
        <f t="shared" si="1"/>
        <v>13</v>
      </c>
      <c r="E41" s="31">
        <f>IF(D41=" "," ",($E$26-$B$3*($F$8))*((D41/($F$8))-($C$18/(PI()))*SIN((PI()*D41)/($F$8)))+$B$3*D41)</f>
        <v>0.0958624732957545</v>
      </c>
      <c r="F41" s="31">
        <f t="shared" si="5"/>
        <v>1.14440549255855</v>
      </c>
      <c r="G41" s="31"/>
      <c r="H41" s="31">
        <f t="shared" si="2"/>
        <v>13</v>
      </c>
      <c r="I41" s="31">
        <f>IF(H41=" "," ",($I$26-$D$3*$F$13)*((H41/$F$13)-($C$18/(PI()))*SIN((PI()*H41)/$F$13))+$D$3*H41)</f>
        <v>0.0963757791895634</v>
      </c>
      <c r="J41" s="31">
        <f t="shared" si="6"/>
        <v>1.14557368127803</v>
      </c>
      <c r="K41" s="31">
        <f t="shared" si="3"/>
        <v>13</v>
      </c>
      <c r="L41" s="31">
        <f>IF(K41=" "," ",($L$26-$D$3*$F$12)*((K41/$F$12)-($C$18/(PI()))*SIN((PI()*K41)/$F$12))+$D$3*K41)</f>
        <v>0.0967250669743599</v>
      </c>
      <c r="M41" s="31">
        <f t="shared" si="7"/>
        <v>1.14478267355129</v>
      </c>
    </row>
    <row r="42" spans="1:13">
      <c r="A42" s="31">
        <f t="shared" si="0"/>
        <v>14</v>
      </c>
      <c r="B42" s="31">
        <f>IF(A42=" "," ",($B$26-$B$3*($F$9))*((A42/($F$9))-($C$18/(PI()))*SIN((PI()*A42)/($F$9)))+$B$3*A42)</f>
        <v>0.113752859870557</v>
      </c>
      <c r="C42" s="31">
        <f t="shared" si="4"/>
        <v>1.13593046713171</v>
      </c>
      <c r="D42" s="31">
        <f t="shared" si="1"/>
        <v>14</v>
      </c>
      <c r="E42" s="31">
        <f>IF(D42=" "," ",($E$26-$B$3*($F$8))*((D42/($F$8))-($C$18/(PI()))*SIN((PI()*D42)/($F$8)))+$B$3*D42)</f>
        <v>0.113752859870557</v>
      </c>
      <c r="F42" s="31">
        <f t="shared" si="5"/>
        <v>1.13593046713171</v>
      </c>
      <c r="G42" s="31"/>
      <c r="H42" s="31">
        <f t="shared" si="2"/>
        <v>14</v>
      </c>
      <c r="I42" s="31">
        <f>IF(H42=" "," ",($I$26-$D$3*$F$13)*((H42/$F$13)-($C$18/(PI()))*SIN((PI()*H42)/$F$13))+$D$3*H42)</f>
        <v>0.114442524812969</v>
      </c>
      <c r="J42" s="31">
        <f t="shared" si="6"/>
        <v>1.13716641867239</v>
      </c>
      <c r="K42" s="31">
        <f t="shared" si="3"/>
        <v>14</v>
      </c>
      <c r="L42" s="31">
        <f>IF(K42=" "," ",($L$26-$D$3*$F$12)*((K42/$F$12)-($C$18/(PI()))*SIN((PI()*K42)/$F$12))+$D$3*K42)</f>
        <v>0.114828278326935</v>
      </c>
      <c r="M42" s="31">
        <f t="shared" si="7"/>
        <v>1.13624060860719</v>
      </c>
    </row>
    <row r="43" spans="1:13">
      <c r="A43" s="31">
        <f t="shared" si="0"/>
        <v>15</v>
      </c>
      <c r="B43" s="31">
        <f>IF(A43=" "," ",($B$26-$B$3*($F$9))*((A43/($F$9))-($C$18/(PI()))*SIN((PI()*A43)/($F$9)))+$B$3*A43)</f>
        <v>0.133934737500653</v>
      </c>
      <c r="C43" s="31">
        <f t="shared" si="4"/>
        <v>1.12808504979547</v>
      </c>
      <c r="D43" s="31">
        <f t="shared" si="1"/>
        <v>15</v>
      </c>
      <c r="E43" s="31">
        <f>IF(D43=" "," ",($E$26-$B$3*($F$8))*((D43/($F$8))-($C$18/(PI()))*SIN((PI()*D43)/($F$8)))+$B$3*D43)</f>
        <v>0.133934737500653</v>
      </c>
      <c r="F43" s="31">
        <f t="shared" si="5"/>
        <v>1.12808504979547</v>
      </c>
      <c r="G43" s="31"/>
      <c r="H43" s="31">
        <f t="shared" si="2"/>
        <v>15</v>
      </c>
      <c r="I43" s="31">
        <f>IF(H43=" "," ",($I$26-$D$3*$F$13)*((H43/$F$13)-($C$18/(PI()))*SIN((PI()*H43)/$F$13))+$D$3*H43)</f>
        <v>0.134846953994666</v>
      </c>
      <c r="J43" s="31">
        <f t="shared" si="6"/>
        <v>1.12939151339253</v>
      </c>
      <c r="K43" s="31">
        <f t="shared" si="3"/>
        <v>15</v>
      </c>
      <c r="L43" s="31">
        <f>IF(K43=" "," ",($L$26-$D$3*$F$12)*((K43/$F$12)-($C$18/(PI()))*SIN((PI()*K43)/$F$12))+$D$3*K43)</f>
        <v>0.135254896555272</v>
      </c>
      <c r="M43" s="31">
        <f t="shared" si="7"/>
        <v>1.12834224991976</v>
      </c>
    </row>
    <row r="44" spans="1:13">
      <c r="A44" s="31">
        <f t="shared" si="0"/>
        <v>16</v>
      </c>
      <c r="B44" s="31">
        <f>IF(A44=" "," ",($B$26-$B$3*($F$9))*((A44/($F$9))-($C$18/(PI()))*SIN((PI()*A44)/($F$9)))+$B$3*A44)</f>
        <v>0.15655569686001</v>
      </c>
      <c r="C44" s="31">
        <f t="shared" si="4"/>
        <v>1.12085504500449</v>
      </c>
      <c r="D44" s="31">
        <f t="shared" si="1"/>
        <v>16</v>
      </c>
      <c r="E44" s="31">
        <f>IF(D44=" "," ",($E$26-$B$3*($F$8))*((D44/($F$8))-($C$18/(PI()))*SIN((PI()*D44)/($F$8)))+$B$3*D44)</f>
        <v>0.15655569686001</v>
      </c>
      <c r="F44" s="31">
        <f t="shared" si="5"/>
        <v>1.12085504500449</v>
      </c>
      <c r="G44" s="31"/>
      <c r="H44" s="31">
        <f t="shared" si="2"/>
        <v>16</v>
      </c>
      <c r="I44" s="31">
        <f>IF(H44=" "," ",($I$26-$D$3*$F$13)*((H44/$F$13)-($C$18/(PI()))*SIN((PI()*H44)/$F$13))+$D$3*H44)</f>
        <v>0.157745502055772</v>
      </c>
      <c r="J44" s="31">
        <f t="shared" si="6"/>
        <v>1.12223419029273</v>
      </c>
      <c r="K44" s="31">
        <f t="shared" si="3"/>
        <v>16</v>
      </c>
      <c r="L44" s="31">
        <f>IF(K44=" "," ",($L$26-$D$3*$F$12)*((K44/$F$12)-($C$18/(PI()))*SIN((PI()*K44)/$F$12))+$D$3*K44)</f>
        <v>0.158154567971933</v>
      </c>
      <c r="M44" s="31">
        <f t="shared" si="7"/>
        <v>1.12107012333999</v>
      </c>
    </row>
    <row r="45" spans="1:13">
      <c r="A45" s="31">
        <f t="shared" si="0"/>
        <v>17</v>
      </c>
      <c r="B45" s="31">
        <f>IF(A45=" "," ",($B$26-$B$3*($F$9))*((A45/($F$9))-($C$18/(PI()))*SIN((PI()*A45)/($F$9)))+$B$3*A45)</f>
        <v>0.181760074147891</v>
      </c>
      <c r="C45" s="31">
        <f t="shared" si="4"/>
        <v>1.11420461384881</v>
      </c>
      <c r="D45" s="31">
        <f t="shared" si="1"/>
        <v>17</v>
      </c>
      <c r="E45" s="31">
        <f>IF(D45=" "," ",($E$26-$B$3*($F$8))*((D45/($F$8))-($C$18/(PI()))*SIN((PI()*D45)/($F$8)))+$B$3*D45)</f>
        <v>0.181760074147891</v>
      </c>
      <c r="F45" s="31">
        <f t="shared" si="5"/>
        <v>1.11420461384881</v>
      </c>
      <c r="G45" s="31"/>
      <c r="H45" s="31">
        <f t="shared" si="2"/>
        <v>17</v>
      </c>
      <c r="I45" s="31">
        <f>IF(H45=" "," ",($I$26-$D$3*$F$13)*((H45/$F$13)-($C$18/(PI()))*SIN((PI()*H45)/$F$13))+$D$3*H45)</f>
        <v>0.183292454417995</v>
      </c>
      <c r="J45" s="31">
        <f t="shared" si="6"/>
        <v>1.11565817597036</v>
      </c>
      <c r="K45" s="31">
        <f t="shared" si="3"/>
        <v>17</v>
      </c>
      <c r="L45" s="31">
        <f>IF(K45=" "," ",($L$26-$D$3*$F$12)*((K45/$F$12)-($C$18/(PI()))*SIN((PI()*K45)/$F$12))+$D$3*K45)</f>
        <v>0.183673639086548</v>
      </c>
      <c r="M45" s="31">
        <f t="shared" si="7"/>
        <v>1.11438590756585</v>
      </c>
    </row>
    <row r="46" spans="1:13">
      <c r="A46" s="31">
        <f t="shared" si="0"/>
        <v>18</v>
      </c>
      <c r="B46" s="31">
        <f>IF(A46=" "," ",($B$26-$B$3*($F$9))*((A46/($F$9))-($C$18/(PI()))*SIN((PI()*A46)/($F$9)))+$B$3*A46)</f>
        <v>0.2096887585006</v>
      </c>
      <c r="C46" s="31">
        <f t="shared" si="4"/>
        <v>1.1080886480039</v>
      </c>
      <c r="D46" s="31">
        <f t="shared" si="1"/>
        <v>18</v>
      </c>
      <c r="E46" s="31">
        <f>IF(D46=" "," ",($E$26-$B$3*($F$8))*((D46/($F$8))-($C$18/(PI()))*SIN((PI()*D46)/($F$8)))+$B$3*D46)</f>
        <v>0.2096887585006</v>
      </c>
      <c r="F46" s="31">
        <f t="shared" si="5"/>
        <v>1.1080886480039</v>
      </c>
      <c r="G46" s="31"/>
      <c r="H46" s="31">
        <f t="shared" si="2"/>
        <v>18</v>
      </c>
      <c r="I46" s="31">
        <f>IF(H46=" "," ",($I$26-$D$3*$F$13)*((H46/$F$13)-($C$18/(PI()))*SIN((PI()*H46)/$F$13))+$D$3*H46)</f>
        <v>0.211639813611521</v>
      </c>
      <c r="J46" s="31">
        <f t="shared" si="6"/>
        <v>1.10961803942781</v>
      </c>
      <c r="K46" s="31">
        <f t="shared" si="3"/>
        <v>18</v>
      </c>
      <c r="L46" s="31">
        <f>IF(K46=" "," ",($L$26-$D$3*$F$12)*((K46/$F$12)-($C$18/(PI()))*SIN((PI()*K46)/$F$12))+$D$3*K46)</f>
        <v>0.211954961335195</v>
      </c>
      <c r="M46" s="31">
        <f t="shared" si="7"/>
        <v>1.10824262065123</v>
      </c>
    </row>
    <row r="47" spans="1:13">
      <c r="A47" s="31">
        <f t="shared" si="0"/>
        <v>19</v>
      </c>
      <c r="B47" s="31">
        <f>IF(A47=" "," ",($B$26-$B$3*($F$9))*((A47/($F$9))-($C$18/(PI()))*SIN((PI()*A47)/($F$9)))+$B$3*A47)</f>
        <v>0.24047900400264</v>
      </c>
      <c r="C47" s="31">
        <f t="shared" si="4"/>
        <v>1.10245957572486</v>
      </c>
      <c r="D47" s="31">
        <f t="shared" si="1"/>
        <v>19</v>
      </c>
      <c r="E47" s="31">
        <f>IF(D47=" "," ",($E$26-$B$3*($F$8))*((D47/($F$8))-($C$18/(PI()))*SIN((PI()*D47)/($F$8)))+$B$3*D47)</f>
        <v>0.24047900400264</v>
      </c>
      <c r="F47" s="31">
        <f t="shared" si="5"/>
        <v>1.10245957572486</v>
      </c>
      <c r="G47" s="31"/>
      <c r="H47" s="31">
        <f t="shared" si="2"/>
        <v>19</v>
      </c>
      <c r="I47" s="31">
        <f>IF(H47=" "," ",($I$26-$D$3*$F$13)*((H47/$F$13)-($C$18/(PI()))*SIN((PI()*H47)/$F$13))+$D$3*H47)</f>
        <v>0.242937168250718</v>
      </c>
      <c r="J47" s="31">
        <f t="shared" si="6"/>
        <v>1.10406597050299</v>
      </c>
      <c r="K47" s="31">
        <f t="shared" si="3"/>
        <v>19</v>
      </c>
      <c r="L47" s="31">
        <f>IF(K47=" "," ",($L$26-$D$3*$F$12)*((K47/$F$12)-($C$18/(PI()))*SIN((PI()*K47)/$F$12))+$D$3*K47)</f>
        <v>0.243137700473256</v>
      </c>
      <c r="M47" s="31">
        <f t="shared" si="7"/>
        <v>1.10259127433667</v>
      </c>
    </row>
    <row r="48" spans="1:13">
      <c r="A48" s="31">
        <f t="shared" si="0"/>
        <v>20</v>
      </c>
      <c r="B48" s="31">
        <f>IF(A48=" "," ",($B$26-$B$3*($F$9))*((A48/($F$9))-($C$18/(PI()))*SIN((PI()*A48)/($F$9)))+$B$3*A48)</f>
        <v>0.27426424654815</v>
      </c>
      <c r="C48" s="31">
        <f t="shared" si="4"/>
        <v>1.09727096990087</v>
      </c>
      <c r="D48" s="31">
        <f t="shared" si="1"/>
        <v>20</v>
      </c>
      <c r="E48" s="31">
        <f>IF(D48=" "," ",($E$26-$B$3*($F$8))*((D48/($F$8))-($C$18/(PI()))*SIN((PI()*D48)/($F$8)))+$B$3*D48)</f>
        <v>0.27426424654815</v>
      </c>
      <c r="F48" s="31">
        <f t="shared" si="5"/>
        <v>1.09727096990087</v>
      </c>
      <c r="G48" s="31"/>
      <c r="H48" s="31">
        <f t="shared" si="2"/>
        <v>20</v>
      </c>
      <c r="I48" s="31">
        <f>IF(H48=" "," ",($I$26-$D$3*$F$13)*((H48/$F$13)-($C$18/(PI()))*SIN((PI()*H48)/$F$13))+$D$3*H48)</f>
        <v>0.277331564090623</v>
      </c>
      <c r="J48" s="31">
        <f t="shared" si="6"/>
        <v>1.09895536656089</v>
      </c>
      <c r="K48" s="31">
        <f t="shared" si="3"/>
        <v>20</v>
      </c>
      <c r="L48" s="31">
        <f>IF(K48=" "," ",($L$26-$D$3*$F$12)*((K48/$F$12)-($C$18/(PI()))*SIN((PI()*K48)/$F$12))+$D$3*K48)</f>
        <v>0.277357150886105</v>
      </c>
      <c r="M48" s="31">
        <f t="shared" si="7"/>
        <v>1.09738436579744</v>
      </c>
    </row>
    <row r="49" spans="1:13">
      <c r="A49" s="31">
        <f t="shared" si="0"/>
        <v>21</v>
      </c>
      <c r="B49" s="31">
        <f>IF(A49=" "," ",($B$26-$B$3*($F$9))*((A49/($F$9))-($C$18/(PI()))*SIN((PI()*A49)/($F$9)))+$B$3*A49)</f>
        <v>0.311173925796948</v>
      </c>
      <c r="C49" s="31">
        <f t="shared" si="4"/>
        <v>1.09247933322009</v>
      </c>
      <c r="D49" s="31">
        <f t="shared" si="1"/>
        <v>21</v>
      </c>
      <c r="E49" s="31">
        <f>IF(D49=" "," ",($E$26-$B$3*($F$8))*((D49/($F$8))-($C$18/(PI()))*SIN((PI()*D49)/($F$8)))+$B$3*D49)</f>
        <v>0.311173925796948</v>
      </c>
      <c r="F49" s="31">
        <f t="shared" si="5"/>
        <v>1.09247933322009</v>
      </c>
      <c r="G49" s="31"/>
      <c r="H49" s="31">
        <f t="shared" si="2"/>
        <v>21</v>
      </c>
      <c r="I49" s="31">
        <f>IF(H49=" "," ",($I$26-$D$3*$F$13)*((H49/$F$13)-($C$18/(PI()))*SIN((PI()*H49)/$F$13))+$D$3*H49)</f>
        <v>0.31496737727533</v>
      </c>
      <c r="J49" s="31">
        <f t="shared" si="6"/>
        <v>1.0942426016113</v>
      </c>
      <c r="K49" s="31">
        <f t="shared" si="3"/>
        <v>21</v>
      </c>
      <c r="L49" s="31">
        <f>IF(K49=" "," ",($L$26-$D$3*$F$12)*((K49/$F$12)-($C$18/(PI()))*SIN((PI()*K49)/$F$12))+$D$3*K49)</f>
        <v>0.314744555065359</v>
      </c>
      <c r="M49" s="31">
        <f t="shared" si="7"/>
        <v>1.09257757585774</v>
      </c>
    </row>
    <row r="50" spans="1:13">
      <c r="A50" s="31">
        <f t="shared" si="0"/>
        <v>22</v>
      </c>
      <c r="B50" s="31">
        <f>IF(A50=" "," ",($B$26-$B$3*($F$9))*((A50/($F$9))-($C$18/(PI()))*SIN((PI()*A50)/($F$9)))+$B$3*A50)</f>
        <v>0.351333312462777</v>
      </c>
      <c r="C50" s="31">
        <f t="shared" si="4"/>
        <v>1.08804485661134</v>
      </c>
      <c r="D50" s="31">
        <f t="shared" si="1"/>
        <v>22</v>
      </c>
      <c r="E50" s="31">
        <f>IF(D50=" "," ",($E$26-$B$3*($F$8))*((D50/($F$8))-($C$18/(PI()))*SIN((PI()*D50)/($F$8)))+$B$3*D50)</f>
        <v>0.351333312462777</v>
      </c>
      <c r="F50" s="31">
        <f t="shared" si="5"/>
        <v>1.08804485661134</v>
      </c>
      <c r="G50" s="31"/>
      <c r="H50" s="31">
        <f t="shared" si="2"/>
        <v>22</v>
      </c>
      <c r="I50" s="31">
        <f>IF(H50=" "," ",($I$26-$D$3*$F$13)*((H50/$F$13)-($C$18/(PI()))*SIN((PI()*H50)/$F$13))+$D$3*H50)</f>
        <v>0.355986189887545</v>
      </c>
      <c r="J50" s="31">
        <f t="shared" si="6"/>
        <v>1.08988777287489</v>
      </c>
      <c r="K50" s="31">
        <f t="shared" si="3"/>
        <v>22</v>
      </c>
      <c r="L50" s="31">
        <f>IF(K50=" "," ",($L$26-$D$3*$F$12)*((K50/$F$12)-($C$18/(PI()))*SIN((PI()*K50)/$F$12))+$D$3*K50)</f>
        <v>0.355426928491603</v>
      </c>
      <c r="M50" s="31">
        <f t="shared" si="7"/>
        <v>1.08813046316861</v>
      </c>
    </row>
    <row r="51" spans="1:13">
      <c r="A51" s="31">
        <f t="shared" si="0"/>
        <v>23</v>
      </c>
      <c r="B51" s="31">
        <f>IF(A51=" "," ",($B$26-$B$3*($F$9))*((A51/($F$9))-($C$18/(PI()))*SIN((PI()*A51)/($F$9)))+$B$3*A51)</f>
        <v>0.394863341164177</v>
      </c>
      <c r="C51" s="31">
        <f t="shared" si="4"/>
        <v>1.08393161139683</v>
      </c>
      <c r="D51" s="31">
        <f t="shared" si="1"/>
        <v>23</v>
      </c>
      <c r="E51" s="31">
        <f>IF(D51=" "," ",($E$26-$B$3*($F$8))*((D51/($F$8))-($C$18/(PI()))*SIN((PI()*D51)/($F$8)))+$B$3*D51)</f>
        <v>0.394863341164177</v>
      </c>
      <c r="F51" s="31">
        <f t="shared" si="5"/>
        <v>1.08393161139683</v>
      </c>
      <c r="G51" s="31"/>
      <c r="H51" s="31">
        <f t="shared" si="2"/>
        <v>23</v>
      </c>
      <c r="I51" s="31">
        <f>IF(H51=" "," ",($I$26-$D$3*$F$13)*((H51/$F$13)-($C$18/(PI()))*SIN((PI()*H51)/$F$13))+$D$3*H51)</f>
        <v>0.400526667906603</v>
      </c>
      <c r="J51" s="31">
        <f t="shared" si="6"/>
        <v>1.08585488419998</v>
      </c>
      <c r="K51" s="31">
        <f t="shared" si="3"/>
        <v>23</v>
      </c>
      <c r="L51" s="31">
        <f>IF(K51=" "," ",($L$26-$D$3*$F$12)*((K51/$F$12)-($C$18/(PI()))*SIN((PI()*K51)/$F$12))+$D$3*K51)</f>
        <v>0.399526890157211</v>
      </c>
      <c r="M51" s="31">
        <f t="shared" si="7"/>
        <v>1.0840066090431</v>
      </c>
    </row>
    <row r="52" spans="1:13">
      <c r="A52" s="31">
        <f t="shared" si="0"/>
        <v>24</v>
      </c>
      <c r="B52" s="31">
        <f>IF(A52=" "," ",($B$26-$B$3*($F$9))*((A52/($F$9))-($C$18/(PI()))*SIN((PI()*A52)/($F$9)))+$B$3*A52)</f>
        <v>0.441880449061038</v>
      </c>
      <c r="C52" s="31">
        <f t="shared" si="4"/>
        <v>1.08010744075961</v>
      </c>
      <c r="D52" s="31">
        <f t="shared" si="1"/>
        <v>24</v>
      </c>
      <c r="E52" s="31">
        <f>IF(D52=" "," ",($E$26-$B$3*($F$8))*((D52/($F$8))-($C$18/(PI()))*SIN((PI()*D52)/($F$8)))+$B$3*D52)</f>
        <v>0.441880449061038</v>
      </c>
      <c r="F52" s="31">
        <f t="shared" si="5"/>
        <v>1.08010744075961</v>
      </c>
      <c r="G52" s="31"/>
      <c r="H52" s="31">
        <f t="shared" si="2"/>
        <v>24</v>
      </c>
      <c r="I52" s="31">
        <f>IF(H52=" "," ",($I$26-$D$3*$F$13)*((H52/$F$13)-($C$18/(PI()))*SIN((PI()*H52)/$F$13))+$D$3*H52)</f>
        <v>0.448724441680117</v>
      </c>
      <c r="J52" s="31">
        <f t="shared" si="6"/>
        <v>1.0821117311065</v>
      </c>
      <c r="K52" s="31">
        <f t="shared" si="3"/>
        <v>24</v>
      </c>
      <c r="L52" s="31">
        <f>IF(K52=" "," ",($L$26-$D$3*$F$12)*((K52/$F$12)-($C$18/(PI()))*SIN((PI()*K52)/$F$12))+$D$3*K52)</f>
        <v>0.447162498955434</v>
      </c>
      <c r="M52" s="31">
        <f t="shared" si="7"/>
        <v>1.08017347405933</v>
      </c>
    </row>
    <row r="53" spans="1:13">
      <c r="A53" s="31">
        <f t="shared" si="0"/>
        <v>25</v>
      </c>
      <c r="B53" s="31">
        <f>IF(A53=" "," ",($B$26-$B$3*($F$9))*((A53/($F$9))-($C$18/(PI()))*SIN((PI()*A53)/($F$9)))+$B$3*A53)</f>
        <v>0.492496420492112</v>
      </c>
      <c r="C53" s="31">
        <f t="shared" si="4"/>
        <v>1.07654370281786</v>
      </c>
      <c r="D53" s="31">
        <f t="shared" si="1"/>
        <v>25</v>
      </c>
      <c r="E53" s="31">
        <f>IF(D53=" "," ",($E$26-$B$3*($F$8))*((D53/($F$8))-($C$18/(PI()))*SIN((PI()*D53)/($F$8)))+$B$3*D53)</f>
        <v>0.492496420492112</v>
      </c>
      <c r="F53" s="31">
        <f t="shared" si="5"/>
        <v>1.07654370281786</v>
      </c>
      <c r="G53" s="31"/>
      <c r="H53" s="31">
        <f t="shared" si="2"/>
        <v>25</v>
      </c>
      <c r="I53" s="31">
        <f>IF(H53=" "," ",($I$26-$D$3*$F$13)*((H53/$F$13)-($C$18/(PI()))*SIN((PI()*H53)/$F$13))+$D$3*H53)</f>
        <v>0.500711989012309</v>
      </c>
      <c r="J53" s="31">
        <f t="shared" si="6"/>
        <v>1.07862963912993</v>
      </c>
      <c r="K53" s="31">
        <f t="shared" si="3"/>
        <v>25</v>
      </c>
      <c r="L53" s="31">
        <f>IF(K53=" "," ",($L$26-$D$3*$F$12)*((K53/$F$12)-($C$18/(PI()))*SIN((PI()*K53)/$F$12))+$D$3*K53)</f>
        <v>0.498447096154027</v>
      </c>
      <c r="M53" s="31">
        <f t="shared" si="7"/>
        <v>1.07660211535927</v>
      </c>
    </row>
    <row r="54" spans="1:13">
      <c r="A54" s="31">
        <f t="shared" si="0"/>
        <v>26</v>
      </c>
      <c r="B54" s="31">
        <f>IF(A54=" "," ",($B$26-$B$3*($F$9))*((A54/($F$9))-($C$18/(PI()))*SIN((PI()*A54)/($F$9)))+$B$3*A54)</f>
        <v>0.546818237820805</v>
      </c>
      <c r="C54" s="31">
        <f t="shared" si="4"/>
        <v>1.07321495158233</v>
      </c>
      <c r="D54" s="31">
        <f t="shared" si="1"/>
        <v>26</v>
      </c>
      <c r="E54" s="31">
        <f>IF(D54=" "," ",($E$26-$B$3*($F$8))*((D54/($F$8))-($C$18/(PI()))*SIN((PI()*D54)/($F$8)))+$B$3*D54)</f>
        <v>0.546818237820805</v>
      </c>
      <c r="F54" s="31">
        <f t="shared" si="5"/>
        <v>1.07321495158233</v>
      </c>
      <c r="G54" s="31"/>
      <c r="H54" s="31">
        <f t="shared" si="2"/>
        <v>26</v>
      </c>
      <c r="I54" s="31">
        <f>IF(H54=" "," ",($I$26-$D$3*$F$13)*((H54/$F$13)-($C$18/(PI()))*SIN((PI()*H54)/$F$13))+$D$3*H54)</f>
        <v>0.556618520969785</v>
      </c>
      <c r="J54" s="31">
        <f t="shared" si="6"/>
        <v>1.07538314127889</v>
      </c>
      <c r="K54" s="31">
        <f t="shared" si="3"/>
        <v>26</v>
      </c>
      <c r="L54" s="31">
        <f>IF(K54=" "," ",($L$26-$D$3*$F$12)*((K54/$F$12)-($C$18/(PI()))*SIN((PI()*K54)/$F$12))+$D$3*K54)</f>
        <v>0.553489154163629</v>
      </c>
      <c r="M54" s="31">
        <f t="shared" si="7"/>
        <v>1.07326684845468</v>
      </c>
    </row>
    <row r="55" spans="1:13">
      <c r="A55" s="31">
        <f t="shared" si="0"/>
        <v>27</v>
      </c>
      <c r="B55" s="31">
        <f>IF(A55=" "," ",($B$26-$B$3*($F$9))*((A55/($F$9))-($C$18/(PI()))*SIN((PI()*A55)/($F$9)))+$B$3*A55)</f>
        <v>0.604947938688263</v>
      </c>
      <c r="C55" s="31">
        <f t="shared" si="4"/>
        <v>1.07009860358178</v>
      </c>
      <c r="D55" s="31">
        <f t="shared" si="1"/>
        <v>27</v>
      </c>
      <c r="E55" s="31">
        <f>IF(D55=" "," ",($E$26-$B$3*($F$8))*((D55/($F$8))-($C$18/(PI()))*SIN((PI()*D55)/($F$8)))+$B$3*D55)</f>
        <v>0.604947938688263</v>
      </c>
      <c r="F55" s="31">
        <f t="shared" si="5"/>
        <v>1.07009860358178</v>
      </c>
      <c r="G55" s="31"/>
      <c r="H55" s="31">
        <f t="shared" si="2"/>
        <v>27</v>
      </c>
      <c r="I55" s="31">
        <f>IF(H55=" "," ",($I$26-$D$3*$F$13)*((H55/$F$13)-($C$18/(PI()))*SIN((PI()*H55)/$F$13))+$D$3*H55)</f>
        <v>0.61656987050322</v>
      </c>
      <c r="J55" s="31">
        <f t="shared" si="6"/>
        <v>1.07234964206033</v>
      </c>
      <c r="K55" s="31">
        <f t="shared" si="3"/>
        <v>27</v>
      </c>
      <c r="L55" s="31">
        <f>IF(K55=" "," ",($L$26-$D$3*$F$12)*((K55/$F$12)-($C$18/(PI()))*SIN((PI()*K55)/$F$12))+$D$3*K55)</f>
        <v>0.612392131802671</v>
      </c>
      <c r="M55" s="31">
        <f t="shared" si="7"/>
        <v>1.07014489953785</v>
      </c>
    </row>
    <row r="56" spans="1:13">
      <c r="A56" s="31">
        <f t="shared" si="0"/>
        <v>28</v>
      </c>
      <c r="B56" s="31">
        <f>IF(A56=" "," ",($B$26-$B$3*($F$9))*((A56/($F$9))-($C$18/(PI()))*SIN((PI()*A56)/($F$9)))+$B$3*A56)</f>
        <v>0.666982479864217</v>
      </c>
      <c r="C56" s="31">
        <f t="shared" si="4"/>
        <v>1.06717461556181</v>
      </c>
      <c r="D56" s="31">
        <f t="shared" si="1"/>
        <v>28</v>
      </c>
      <c r="E56" s="31">
        <f>IF(D56=" "," ",($E$26-$B$3*($F$8))*((D56/($F$8))-($C$18/(PI()))*SIN((PI()*D56)/($F$8)))+$B$3*D56)</f>
        <v>0.666982479864217</v>
      </c>
      <c r="F56" s="31">
        <f t="shared" si="5"/>
        <v>1.06717461556181</v>
      </c>
      <c r="G56" s="31"/>
      <c r="H56" s="31">
        <f t="shared" si="2"/>
        <v>28</v>
      </c>
      <c r="I56" s="31">
        <f>IF(H56=" "," ",($I$26-$D$3*$F$13)*((H56/$F$13)-($C$18/(PI()))*SIN((PI()*H56)/$F$13))+$D$3*H56)</f>
        <v>0.680688383980905</v>
      </c>
      <c r="J56" s="31">
        <f t="shared" si="6"/>
        <v>1.06950909323446</v>
      </c>
      <c r="K56" s="31">
        <f t="shared" si="3"/>
        <v>28</v>
      </c>
      <c r="L56" s="31">
        <f>IF(K56=" "," ",($L$26-$D$3*$F$12)*((K56/$F$12)-($C$18/(PI()))*SIN((PI()*K56)/$F$12))+$D$3*K56)</f>
        <v>0.675254336251939</v>
      </c>
      <c r="M56" s="31">
        <f t="shared" si="7"/>
        <v>1.06721607241127</v>
      </c>
    </row>
    <row r="57" spans="1:13">
      <c r="A57" s="31">
        <f t="shared" si="0"/>
        <v>29</v>
      </c>
      <c r="B57" s="31">
        <f>IF(A57=" "," ",($B$26-$B$3*($F$9))*((A57/($F$9))-($C$18/(PI()))*SIN((PI()*A57)/($F$9)))+$B$3*A57)</f>
        <v>0.733013607877242</v>
      </c>
      <c r="C57" s="31">
        <f t="shared" si="4"/>
        <v>1.06442518573218</v>
      </c>
      <c r="D57" s="31">
        <f t="shared" si="1"/>
        <v>29</v>
      </c>
      <c r="E57" s="31">
        <f>IF(D57=" "," ",($E$26-$B$3*($F$8))*((D57/($F$8))-($C$18/(PI()))*SIN((PI()*D57)/($F$8)))+$B$3*D57)</f>
        <v>0.733013607877242</v>
      </c>
      <c r="F57" s="31">
        <f t="shared" si="5"/>
        <v>1.06442518573218</v>
      </c>
      <c r="G57" s="31"/>
      <c r="H57" s="31">
        <f t="shared" si="2"/>
        <v>29</v>
      </c>
      <c r="I57" s="31">
        <f>IF(H57=" "," ",($I$26-$D$3*$F$13)*((H57/$F$13)-($C$18/(PI()))*SIN((PI()*H57)/$F$13))+$D$3*H57)</f>
        <v>0.749092815727714</v>
      </c>
      <c r="J57" s="31">
        <f t="shared" si="6"/>
        <v>1.06684369360208</v>
      </c>
      <c r="K57" s="31">
        <f t="shared" si="3"/>
        <v>29</v>
      </c>
      <c r="L57" s="31">
        <f>IF(K57=" "," ",($L$26-$D$3*$F$12)*((K57/$F$12)-($C$18/(PI()))*SIN((PI()*K57)/$F$12))+$D$3*K57)</f>
        <v>0.742168791882978</v>
      </c>
      <c r="M57" s="31">
        <f t="shared" si="7"/>
        <v>1.06446244157794</v>
      </c>
    </row>
    <row r="58" spans="1:13">
      <c r="A58" s="31">
        <f t="shared" si="0"/>
        <v>30</v>
      </c>
      <c r="B58" s="31">
        <f>IF(A58=" "," ",($B$26-$B$3*($F$9))*((A58/($F$9))-($C$18/(PI()))*SIN((PI()*A58)/($F$9)))+$B$3*A58)</f>
        <v>0.803127736597073</v>
      </c>
      <c r="C58" s="31">
        <f t="shared" si="4"/>
        <v>1.06183448366959</v>
      </c>
      <c r="D58" s="31">
        <f t="shared" si="1"/>
        <v>30</v>
      </c>
      <c r="E58" s="31">
        <f>IF(D58=" "," ",($E$26-$B$3*($F$8))*((D58/($F$8))-($C$18/(PI()))*SIN((PI()*D58)/($F$8)))+$B$3*D58)</f>
        <v>0.803127736597073</v>
      </c>
      <c r="F58" s="31">
        <f t="shared" si="5"/>
        <v>1.06183448366959</v>
      </c>
      <c r="G58" s="31"/>
      <c r="H58" s="31">
        <f t="shared" si="2"/>
        <v>30</v>
      </c>
      <c r="I58" s="31">
        <f>IF(H58=" "," ",($I$26-$D$3*$F$13)*((H58/$F$13)-($C$18/(PI()))*SIN((PI()*H58)/$F$13))+$D$3*H58)</f>
        <v>0.821898225660347</v>
      </c>
      <c r="J58" s="31">
        <f t="shared" si="6"/>
        <v>1.06433761780397</v>
      </c>
      <c r="K58" s="31">
        <f t="shared" si="3"/>
        <v>30</v>
      </c>
      <c r="L58" s="31">
        <f>IF(K58=" "," ",($L$26-$D$3*$F$12)*((K58/$F$12)-($C$18/(PI()))*SIN((PI()*K58)/$F$12))+$D$3*K58)</f>
        <v>0.813223116135376</v>
      </c>
      <c r="M58" s="31">
        <f t="shared" si="7"/>
        <v>1.06186807592347</v>
      </c>
    </row>
    <row r="59" spans="1:13">
      <c r="A59" s="31">
        <f t="shared" si="0"/>
        <v>31</v>
      </c>
      <c r="B59" s="31">
        <f>IF(A59=" "," ",($B$26-$B$3*($F$9))*((A59/($F$9))-($C$18/(PI()))*SIN((PI()*A59)/($F$9)))+$B$3*A59)</f>
        <v>0.877405831932292</v>
      </c>
      <c r="C59" s="31">
        <f t="shared" si="4"/>
        <v>1.05938840988849</v>
      </c>
      <c r="D59" s="31">
        <f t="shared" si="1"/>
        <v>31</v>
      </c>
      <c r="E59" s="31">
        <f>IF(D59=" "," ",($E$26-$B$3*($F$8))*((D59/($F$8))-($C$18/(PI()))*SIN((PI()*D59)/($F$8)))+$B$3*D59)</f>
        <v>0.877405831932292</v>
      </c>
      <c r="F59" s="31">
        <f t="shared" si="5"/>
        <v>1.05938840988849</v>
      </c>
      <c r="G59" s="31"/>
      <c r="H59" s="31">
        <f t="shared" si="2"/>
        <v>31</v>
      </c>
      <c r="I59" s="31">
        <f>IF(H59=" "," ",($I$26-$D$3*$F$13)*((H59/$F$13)-($C$18/(PI()))*SIN((PI()*H59)/$F$13))+$D$3*H59)</f>
        <v>0.899215880107119</v>
      </c>
      <c r="J59" s="31">
        <f t="shared" si="6"/>
        <v>1.06197677505441</v>
      </c>
      <c r="K59" s="31">
        <f t="shared" si="3"/>
        <v>31</v>
      </c>
      <c r="L59" s="31">
        <f>IF(K59=" "," ",($L$26-$D$3*$F$12)*((K59/$F$12)-($C$18/(PI()))*SIN((PI()*K59)/$F$12))+$D$3*K59)</f>
        <v>0.888499402608523</v>
      </c>
      <c r="M59" s="31">
        <f t="shared" si="7"/>
        <v>1.05941879351005</v>
      </c>
    </row>
    <row r="60" spans="1:13">
      <c r="A60" s="31">
        <f t="shared" si="0"/>
        <v>32</v>
      </c>
      <c r="B60" s="31">
        <f>IF(A60=" "," ",($B$26-$B$3*($F$9))*((A60/($F$9))-($C$18/(PI()))*SIN((PI()*A60)/($F$9)))+$B$3*A60)</f>
        <v>0.955923303797253</v>
      </c>
      <c r="C60" s="31">
        <f t="shared" si="4"/>
        <v>1.05707438391642</v>
      </c>
      <c r="D60" s="31">
        <f t="shared" si="1"/>
        <v>32</v>
      </c>
      <c r="E60" s="31">
        <f>IF(D60=" "," ",($E$26-$B$3*($F$8))*((D60/($F$8))-($C$18/(PI()))*SIN((PI()*D60)/($F$8)))+$B$3*D60)</f>
        <v>0.955923303797253</v>
      </c>
      <c r="F60" s="31">
        <f t="shared" si="5"/>
        <v>1.05707438391642</v>
      </c>
      <c r="G60" s="31"/>
      <c r="H60" s="31">
        <f t="shared" si="2"/>
        <v>32</v>
      </c>
      <c r="I60" s="31">
        <f>IF(H60=" "," ",($I$26-$D$3*$F$13)*((H60/$F$13)-($C$18/(PI()))*SIN((PI()*H60)/$F$13))+$D$3*H60)</f>
        <v>0.981153155897767</v>
      </c>
      <c r="J60" s="31">
        <f t="shared" si="6"/>
        <v>1.05974859657773</v>
      </c>
      <c r="K60" s="31">
        <f t="shared" si="3"/>
        <v>32</v>
      </c>
      <c r="L60" s="31">
        <f>IF(K60=" "," ",($L$26-$D$3*$F$12)*((K60/$F$12)-($C$18/(PI()))*SIN((PI()*K60)/$F$12))+$D$3*K60)</f>
        <v>0.968074111523859</v>
      </c>
      <c r="M60" s="31">
        <f t="shared" si="7"/>
        <v>1.05710194595906</v>
      </c>
    </row>
    <row r="61" spans="1:13">
      <c r="A61" s="31">
        <f t="shared" si="0"/>
        <v>33</v>
      </c>
      <c r="B61" s="31">
        <f>IF(A61=" "," ",($B$26-$B$3*($F$9))*((A61/($F$9))-($C$18/(PI()))*SIN((PI()*A61)/($F$9)))+$B$3*A61)</f>
        <v>1.03874990549239</v>
      </c>
      <c r="C61" s="31">
        <f t="shared" si="4"/>
        <v>1.05488115864946</v>
      </c>
      <c r="D61" s="31">
        <f t="shared" si="1"/>
        <v>33</v>
      </c>
      <c r="E61" s="31">
        <f>IF(D61=" "," ",($E$26-$B$3*($F$8))*((D61/($F$8))-($C$18/(PI()))*SIN((PI()*D61)/($F$8)))+$B$3*D61)</f>
        <v>1.03874990549239</v>
      </c>
      <c r="F61" s="31">
        <f t="shared" si="5"/>
        <v>1.05488115864946</v>
      </c>
      <c r="G61" s="31"/>
      <c r="H61" s="31">
        <f t="shared" si="2"/>
        <v>33</v>
      </c>
      <c r="I61" s="31">
        <f>IF(H61=" "," ",($I$26-$D$3*$F$13)*((H61/$F$13)-($C$18/(PI()))*SIN((PI()*H61)/$F$13))+$D$3*H61)</f>
        <v>1.06781344780596</v>
      </c>
      <c r="J61" s="31">
        <f t="shared" si="6"/>
        <v>1.0576418494754</v>
      </c>
      <c r="K61" s="31">
        <f t="shared" si="3"/>
        <v>33</v>
      </c>
      <c r="L61" s="31">
        <f>IF(K61=" "," ",($L$26-$D$3*$F$12)*((K61/$F$12)-($C$18/(PI()))*SIN((PI()*K61)/$F$12))+$D$3*K61)</f>
        <v>1.05201796770375</v>
      </c>
      <c r="M61" s="31">
        <f t="shared" si="7"/>
        <v>1.05490622993293</v>
      </c>
    </row>
    <row r="62" spans="1:13">
      <c r="A62" s="31">
        <f t="shared" si="0"/>
        <v>34</v>
      </c>
      <c r="B62" s="31">
        <f>IF(A62=" "," ",($B$26-$B$3*($F$9))*((A62/($F$9))-($C$18/(PI()))*SIN((PI()*A62)/($F$9)))+$B$3*A62)</f>
        <v>1.12594964063215</v>
      </c>
      <c r="C62" s="31">
        <f t="shared" si="4"/>
        <v>1.0527986583432</v>
      </c>
      <c r="D62" s="31">
        <f t="shared" si="1"/>
        <v>34</v>
      </c>
      <c r="E62" s="31">
        <f>IF(D62=" "," ",($E$26-$B$3*($F$8))*((D62/($F$8))-($C$18/(PI()))*SIN((PI()*D62)/($F$8)))+$B$3*D62)</f>
        <v>1.12594964063215</v>
      </c>
      <c r="F62" s="31">
        <f t="shared" si="5"/>
        <v>1.0527986583432</v>
      </c>
      <c r="G62" s="31"/>
      <c r="H62" s="31">
        <f t="shared" si="2"/>
        <v>34</v>
      </c>
      <c r="I62" s="31">
        <f>IF(H62=" "," ",($I$26-$D$3*$F$13)*((H62/$F$13)-($C$18/(PI()))*SIN((PI()*H62)/$F$13))+$D$3*H62)</f>
        <v>1.15929607942431</v>
      </c>
      <c r="J62" s="31">
        <f t="shared" si="6"/>
        <v>1.05564647434212</v>
      </c>
      <c r="K62" s="31">
        <f t="shared" si="3"/>
        <v>34</v>
      </c>
      <c r="L62" s="31">
        <f>IF(K62=" "," ",($L$26-$D$3*$F$12)*((K62/$F$12)-($C$18/(PI()))*SIN((PI()*K62)/$F$12))+$D$3*K62)</f>
        <v>1.14039586620311</v>
      </c>
      <c r="M62" s="31">
        <f t="shared" si="7"/>
        <v>1.05282152287568</v>
      </c>
    </row>
    <row r="63" spans="1:13">
      <c r="A63" s="31">
        <f t="shared" si="0"/>
        <v>35</v>
      </c>
      <c r="B63" s="31">
        <f>IF(A63=" "," ",($B$26-$B$3*($F$9))*((A63/($F$9))-($C$18/(PI()))*SIN((PI()*A63)/($F$9)))+$B$3*A63)</f>
        <v>1.21758067774479</v>
      </c>
      <c r="C63" s="31">
        <f t="shared" si="4"/>
        <v>1.05081783752865</v>
      </c>
      <c r="D63" s="31">
        <f t="shared" si="1"/>
        <v>35</v>
      </c>
      <c r="E63" s="31">
        <f>IF(D63=" "," ",($E$26-$B$3*($F$8))*((D63/($F$8))-($C$18/(PI()))*SIN((PI()*D63)/($F$8)))+$B$3*D63)</f>
        <v>1.21758067774479</v>
      </c>
      <c r="F63" s="31">
        <f t="shared" si="5"/>
        <v>1.05081783752865</v>
      </c>
      <c r="G63" s="31"/>
      <c r="H63" s="31">
        <f t="shared" si="2"/>
        <v>35</v>
      </c>
      <c r="I63" s="31">
        <f>IF(H63=" "," ",($I$26-$D$3*$F$13)*((H63/$F$13)-($C$18/(PI()))*SIN((PI()*H63)/$F$13))+$D$3*H63)</f>
        <v>1.25569621754864</v>
      </c>
      <c r="J63" s="31">
        <f t="shared" si="6"/>
        <v>1.05375344389407</v>
      </c>
      <c r="K63" s="31">
        <f t="shared" si="3"/>
        <v>35</v>
      </c>
      <c r="L63" s="31">
        <f>IF(K63=" "," ",($L$26-$D$3*$F$12)*((K63/$F$12)-($C$18/(PI()))*SIN((PI()*K63)/$F$12))+$D$3*K63)</f>
        <v>1.23326678571976</v>
      </c>
      <c r="M63" s="31">
        <f t="shared" si="7"/>
        <v>1.05083874015535</v>
      </c>
    </row>
    <row r="64" spans="1:13">
      <c r="A64" s="31">
        <f t="shared" si="0"/>
        <v>36</v>
      </c>
      <c r="B64" s="31">
        <f>IF(A64=" "," ",($B$26-$B$3*($F$9))*((A64/($F$9))-($C$18/(PI()))*SIN((PI()*A64)/($F$9)))+$B$3*A64)</f>
        <v>1.31369527265789</v>
      </c>
      <c r="C64" s="31">
        <f t="shared" si="4"/>
        <v>1.04893055826643</v>
      </c>
      <c r="D64" s="31">
        <f t="shared" si="1"/>
        <v>36</v>
      </c>
      <c r="E64" s="31">
        <f>IF(D64=" "," ",($E$26-$B$3*($F$8))*((D64/($F$8))-($C$18/(PI()))*SIN((PI()*D64)/($F$8)))+$B$3*D64)</f>
        <v>1.31369527265789</v>
      </c>
      <c r="F64" s="31">
        <f t="shared" si="5"/>
        <v>1.04893055826643</v>
      </c>
      <c r="G64" s="31"/>
      <c r="H64" s="31">
        <f t="shared" si="2"/>
        <v>36</v>
      </c>
      <c r="I64" s="31">
        <f>IF(H64=" "," ",($I$26-$D$3*$F$13)*((H64/$F$13)-($C$18/(PI()))*SIN((PI()*H64)/$F$13))+$D$3*H64)</f>
        <v>1.3571047901454</v>
      </c>
      <c r="J64" s="31">
        <f t="shared" si="6"/>
        <v>1.05195464000248</v>
      </c>
      <c r="K64" s="31">
        <f t="shared" si="3"/>
        <v>36</v>
      </c>
      <c r="L64" s="31">
        <f>IF(K64=" "," ",($L$26-$D$3*$F$12)*((K64/$F$12)-($C$18/(PI()))*SIN((PI()*K64)/$F$12))+$D$3*K64)</f>
        <v>1.33068370989892</v>
      </c>
      <c r="M64" s="31">
        <f t="shared" si="7"/>
        <v>1.04894971091234</v>
      </c>
    </row>
    <row r="65" spans="1:13">
      <c r="A65" s="31">
        <f t="shared" si="0"/>
        <v>37</v>
      </c>
      <c r="B65" s="31">
        <f>IF(A65=" "," ",($B$26-$B$3*($F$9))*((A65/($F$9))-($C$18/(PI()))*SIN((PI()*A65)/($F$9)))+$B$3*A65)</f>
        <v>1.41433969877323</v>
      </c>
      <c r="C65" s="31">
        <f t="shared" si="4"/>
        <v>1.0471294833666</v>
      </c>
      <c r="D65" s="31">
        <f t="shared" si="1"/>
        <v>37</v>
      </c>
      <c r="E65" s="31">
        <f>IF(D65=" "," ",($E$26-$B$3*($F$8))*((D65/($F$8))-($C$18/(PI()))*SIN((PI()*D65)/($F$8)))+$B$3*D65)</f>
        <v>1.41433969877323</v>
      </c>
      <c r="F65" s="31">
        <f t="shared" si="5"/>
        <v>1.0471294833666</v>
      </c>
      <c r="G65" s="31"/>
      <c r="H65" s="31">
        <f t="shared" si="2"/>
        <v>37</v>
      </c>
      <c r="I65" s="31">
        <f>IF(H65=" "," ",($I$26-$D$3*$F$13)*((H65/$F$13)-($C$18/(PI()))*SIN((PI()*H65)/$F$13))+$D$3*H65)</f>
        <v>1.46360840797293</v>
      </c>
      <c r="J65" s="31">
        <f t="shared" si="6"/>
        <v>1.05024274674511</v>
      </c>
      <c r="K65" s="31">
        <f t="shared" si="3"/>
        <v>37</v>
      </c>
      <c r="L65" s="31">
        <f>IF(K65=" "," ",($L$26-$D$3*$F$12)*((K65/$F$12)-($C$18/(PI()))*SIN((PI()*K65)/$F$12))+$D$3*K65)</f>
        <v>1.43269355663695</v>
      </c>
      <c r="M65" s="31">
        <f t="shared" si="7"/>
        <v>1.04714707015832</v>
      </c>
    </row>
    <row r="66" spans="1:13">
      <c r="A66" s="31">
        <f t="shared" si="0"/>
        <v>38</v>
      </c>
      <c r="B66" s="31">
        <f>IF(A66=" "," ",($B$26-$B$3*($F$9))*((A66/($F$9))-($C$18/(PI()))*SIN((PI()*A66)/($F$9)))+$B$3*A66)</f>
        <v>1.51955418532406</v>
      </c>
      <c r="C66" s="31">
        <f t="shared" si="4"/>
        <v>1.04540798345118</v>
      </c>
      <c r="D66" s="31">
        <f t="shared" si="1"/>
        <v>38</v>
      </c>
      <c r="E66" s="31">
        <f>IF(D66=" "," ",($E$26-$B$3*($F$8))*((D66/($F$8))-($C$18/(PI()))*SIN((PI()*D66)/($F$8)))+$B$3*D66)</f>
        <v>1.51955418532406</v>
      </c>
      <c r="F66" s="31">
        <f t="shared" si="5"/>
        <v>1.04540798345118</v>
      </c>
      <c r="G66" s="31"/>
      <c r="H66" s="31">
        <f t="shared" si="2"/>
        <v>38</v>
      </c>
      <c r="I66" s="31">
        <f>IF(H66=" "," ",($I$26-$D$3*$F$13)*((H66/$F$13)-($C$18/(PI()))*SIN((PI()*H66)/$F$13))+$D$3*H66)</f>
        <v>1.575289289924</v>
      </c>
      <c r="J66" s="31">
        <f t="shared" si="6"/>
        <v>1.04861115734051</v>
      </c>
      <c r="K66" s="31">
        <f t="shared" si="3"/>
        <v>38</v>
      </c>
      <c r="L66" s="31">
        <f>IF(K66=" "," ",($L$26-$D$3*$F$12)*((K66/$F$12)-($C$18/(PI()))*SIN((PI()*K66)/$F$12))+$D$3*K66)</f>
        <v>1.53933711547871</v>
      </c>
      <c r="M66" s="31">
        <f t="shared" si="7"/>
        <v>1.0454241649399</v>
      </c>
    </row>
    <row r="67" spans="1:13">
      <c r="A67" s="31">
        <f t="shared" si="0"/>
        <v>39</v>
      </c>
      <c r="B67" s="31">
        <f>IF(A67=" "," ",($B$26-$B$3*($F$9))*((A67/($F$9))-($C$18/(PI()))*SIN((PI()*A67)/($F$9)))+$B$3*A67)</f>
        <v>1.62937286369711</v>
      </c>
      <c r="C67" s="31">
        <f t="shared" si="4"/>
        <v>1.04376005598801</v>
      </c>
      <c r="D67" s="31">
        <f t="shared" si="1"/>
        <v>39</v>
      </c>
      <c r="E67" s="31">
        <f>IF(D67=" "," ",($E$26-$B$3*($F$8))*((D67/($F$8))-($C$18/(PI()))*SIN((PI()*D67)/($F$8)))+$B$3*D67)</f>
        <v>1.62937286369711</v>
      </c>
      <c r="F67" s="31">
        <f t="shared" si="5"/>
        <v>1.04376005598801</v>
      </c>
      <c r="G67" s="31"/>
      <c r="H67" s="31">
        <f t="shared" si="2"/>
        <v>39</v>
      </c>
      <c r="I67" s="31">
        <f>IF(H67=" "," ",($I$26-$D$3*$F$13)*((H67/$F$13)-($C$18/(PI()))*SIN((PI()*H67)/$F$13))+$D$3*H67)</f>
        <v>1.69222519215421</v>
      </c>
      <c r="J67" s="31">
        <f t="shared" si="6"/>
        <v>1.04705389308653</v>
      </c>
      <c r="K67" s="31">
        <f t="shared" si="3"/>
        <v>39</v>
      </c>
      <c r="L67" s="31">
        <f>IF(K67=" "," ",($L$26-$D$3*$F$12)*((K67/$F$12)-($C$18/(PI()))*SIN((PI()*K67)/$F$12))+$D$3*K67)</f>
        <v>1.65064899319187</v>
      </c>
      <c r="M67" s="31">
        <f t="shared" si="7"/>
        <v>1.04377497264811</v>
      </c>
    </row>
    <row r="68" spans="1:13">
      <c r="A68" s="31">
        <f t="shared" si="0"/>
        <v>40</v>
      </c>
      <c r="B68" s="31">
        <f>IF(A68=" "," ",($B$26-$B$3*($F$9))*((A68/($F$9))-($C$18/(PI()))*SIN((PI()*A68)/($F$9)))+$B$3*A68)</f>
        <v>1.74382372189094</v>
      </c>
      <c r="C68" s="31">
        <f t="shared" si="4"/>
        <v>1.04218025466526</v>
      </c>
      <c r="D68" s="31">
        <f t="shared" si="1"/>
        <v>40</v>
      </c>
      <c r="E68" s="31">
        <f>IF(D68=" "," ",($E$26-$B$3*($F$8))*((D68/($F$8))-($C$18/(PI()))*SIN((PI()*D68)/($F$8)))+$B$3*D68)</f>
        <v>1.74382372189094</v>
      </c>
      <c r="F68" s="31">
        <f t="shared" si="5"/>
        <v>1.04218025466526</v>
      </c>
      <c r="G68" s="31"/>
      <c r="H68" s="31">
        <f t="shared" si="2"/>
        <v>40</v>
      </c>
      <c r="I68" s="31">
        <f>IF(H68=" "," ",($I$26-$D$3*$F$13)*((H68/$F$13)-($C$18/(PI()))*SIN((PI()*H68)/$F$13))+$D$3*H68)</f>
        <v>1.81448934105711</v>
      </c>
      <c r="J68" s="31">
        <f t="shared" si="6"/>
        <v>1.04556553266424</v>
      </c>
      <c r="K68" s="31">
        <f t="shared" si="3"/>
        <v>40</v>
      </c>
      <c r="L68" s="31">
        <f>IF(K68=" "," ",($L$26-$D$3*$F$12)*((K68/$F$12)-($C$18/(PI()))*SIN((PI()*K68)/$F$12))+$D$3*K68)</f>
        <v>1.766657567591</v>
      </c>
      <c r="M68" s="31">
        <f t="shared" si="7"/>
        <v>1.04219402980595</v>
      </c>
    </row>
    <row r="69" spans="1:13">
      <c r="A69" s="31">
        <f t="shared" si="0"/>
        <v>41</v>
      </c>
      <c r="B69" s="31">
        <f>IF(A69=" "," ",($B$26-$B$3*($F$9))*((A69/($F$9))-($C$18/(PI()))*SIN((PI()*A69)/($F$9)))+$B$3*A69)</f>
        <v>1.86292856717147</v>
      </c>
      <c r="C69" s="31">
        <f t="shared" si="4"/>
        <v>1.04066362769271</v>
      </c>
      <c r="D69" s="31">
        <f t="shared" si="1"/>
        <v>41</v>
      </c>
      <c r="E69" s="31">
        <f>IF(D69=" "," ",($E$26-$B$3*($F$8))*((D69/($F$8))-($C$18/(PI()))*SIN((PI()*D69)/($F$8)))+$B$3*D69)</f>
        <v>1.86292856717147</v>
      </c>
      <c r="F69" s="31">
        <f t="shared" si="5"/>
        <v>1.04066362769271</v>
      </c>
      <c r="G69" s="31"/>
      <c r="H69" s="31">
        <f t="shared" si="2"/>
        <v>41</v>
      </c>
      <c r="I69" s="31">
        <f>IF(H69=" "," ",($I$26-$D$3*$F$13)*((H69/$F$13)-($C$18/(PI()))*SIN((PI()*H69)/$F$13))+$D$3*H69)</f>
        <v>1.94215037014399</v>
      </c>
      <c r="J69" s="31">
        <f t="shared" si="6"/>
        <v>1.04414115038956</v>
      </c>
      <c r="K69" s="31">
        <f t="shared" si="3"/>
        <v>41</v>
      </c>
      <c r="L69" s="31">
        <f>IF(K69=" "," ",($L$26-$D$3*$F$12)*((K69/$F$12)-($C$18/(PI()))*SIN((PI()*K69)/$F$12))+$D$3*K69)</f>
        <v>1.88738494967302</v>
      </c>
      <c r="M69" s="31">
        <f t="shared" si="7"/>
        <v>1.04067636989176</v>
      </c>
    </row>
    <row r="70" spans="1:13">
      <c r="A70" s="31">
        <f t="shared" si="0"/>
        <v>42</v>
      </c>
      <c r="B70" s="31">
        <f>IF(A70=" "," ",($B$26-$B$3*($F$9))*((A70/($F$9))-($C$18/(PI()))*SIN((PI()*A70)/($F$9)))+$B$3*A70)</f>
        <v>1.9867029969745</v>
      </c>
      <c r="C70" s="31">
        <f t="shared" si="4"/>
        <v>1.03920566381237</v>
      </c>
      <c r="D70" s="31">
        <f t="shared" si="1"/>
        <v>42</v>
      </c>
      <c r="E70" s="31">
        <f>IF(D70=" "," ",($E$26-$B$3*($F$8))*((D70/($F$8))-($C$18/(PI()))*SIN((PI()*D70)/($F$8)))+$B$3*D70)</f>
        <v>1.9867029969745</v>
      </c>
      <c r="F70" s="31">
        <f t="shared" si="5"/>
        <v>1.03920566381237</v>
      </c>
      <c r="G70" s="31"/>
      <c r="H70" s="31">
        <f t="shared" si="2"/>
        <v>42</v>
      </c>
      <c r="I70" s="31">
        <f>IF(H70=" "," ",($I$26-$D$3*$F$13)*((H70/$F$13)-($C$18/(PI()))*SIN((PI()*H70)/$F$13))+$D$3*H70)</f>
        <v>2.07527226088261</v>
      </c>
      <c r="J70" s="31">
        <f t="shared" si="6"/>
        <v>1.04277626219063</v>
      </c>
      <c r="K70" s="31">
        <f t="shared" si="3"/>
        <v>42</v>
      </c>
      <c r="L70" s="31">
        <f>IF(K70=" "," ",($L$26-$D$3*$F$12)*((K70/$F$12)-($C$18/(PI()))*SIN((PI()*K70)/$F$12))+$D$3*K70)</f>
        <v>2.01284695411432</v>
      </c>
      <c r="M70" s="31">
        <f t="shared" si="7"/>
        <v>1.03921746895891</v>
      </c>
    </row>
    <row r="71" spans="1:13">
      <c r="A71" s="31">
        <f t="shared" si="0"/>
        <v>43</v>
      </c>
      <c r="B71" s="31">
        <f>IF(A71=" "," ",($B$26-$B$3*($F$9))*((A71/($F$9))-($C$18/(PI()))*SIN((PI()*A71)/($F$9)))+$B$3*A71)</f>
        <v>2.11515637809396</v>
      </c>
      <c r="C71" s="31">
        <f t="shared" si="4"/>
        <v>1.03780224496999</v>
      </c>
      <c r="D71" s="31">
        <f t="shared" si="1"/>
        <v>43</v>
      </c>
      <c r="E71" s="31">
        <f>IF(D71=" "," ",($E$26-$B$3*($F$8))*((D71/($F$8))-($C$18/(PI()))*SIN((PI()*D71)/($F$8)))+$B$3*D71)</f>
        <v>2.11515637809396</v>
      </c>
      <c r="F71" s="31">
        <f t="shared" si="5"/>
        <v>1.03780224496999</v>
      </c>
      <c r="G71" s="31"/>
      <c r="H71" s="31">
        <f t="shared" si="2"/>
        <v>43</v>
      </c>
      <c r="I71" s="31">
        <f>IF(H71=" "," ",($I$26-$D$3*$F$13)*((H71/$F$13)-($C$18/(PI()))*SIN((PI()*H71)/$F$13))+$D$3*H71)</f>
        <v>2.21391428754602</v>
      </c>
      <c r="J71" s="31">
        <f t="shared" si="6"/>
        <v>1.04146677825984</v>
      </c>
      <c r="K71" s="31">
        <f t="shared" si="3"/>
        <v>43</v>
      </c>
      <c r="L71" s="31">
        <f>IF(K71=" "," ",($L$26-$D$3*$F$12)*((K71/$F$12)-($C$18/(PI()))*SIN((PI()*K71)/$F$12))+$D$3*K71)</f>
        <v>2.1430530781693</v>
      </c>
      <c r="M71" s="31">
        <f t="shared" si="7"/>
        <v>1.03781319798606</v>
      </c>
    </row>
    <row r="72" spans="1:13">
      <c r="A72" s="31">
        <f t="shared" si="0"/>
        <v>44</v>
      </c>
      <c r="B72" s="31">
        <f>IF(A72=" "," ",($B$26-$B$3*($F$9))*((A72/($F$9))-($C$18/(PI()))*SIN((PI()*A72)/($F$9)))+$B$3*A72)</f>
        <v>2.2482918341838</v>
      </c>
      <c r="C72" s="31">
        <f t="shared" si="4"/>
        <v>1.03644960474825</v>
      </c>
      <c r="D72" s="31">
        <f t="shared" si="1"/>
        <v>44</v>
      </c>
      <c r="E72" s="31">
        <f>IF(D72=" "," ",($E$26-$B$3*($F$8))*((D72/($F$8))-($C$18/(PI()))*SIN((PI()*D72)/($F$8)))+$B$3*D72)</f>
        <v>2.2482918341838</v>
      </c>
      <c r="F72" s="31">
        <f t="shared" si="5"/>
        <v>1.03644960474825</v>
      </c>
      <c r="G72" s="31"/>
      <c r="H72" s="31">
        <f t="shared" si="2"/>
        <v>44</v>
      </c>
      <c r="I72" s="31">
        <f>IF(H72=" "," ",($I$26-$D$3*$F$13)*((H72/$F$13)-($C$18/(PI()))*SIN((PI()*H72)/$F$13))+$D$3*H72)</f>
        <v>2.35813096611885</v>
      </c>
      <c r="J72" s="31">
        <f t="shared" si="6"/>
        <v>1.04020896147851</v>
      </c>
      <c r="K72" s="31">
        <f t="shared" si="3"/>
        <v>44</v>
      </c>
      <c r="L72" s="31">
        <f>IF(K72=" "," ",($L$26-$D$3*$F$12)*((K72/$F$12)-($C$18/(PI()))*SIN((PI()*K72)/$F$12))+$D$3*K72)</f>
        <v>2.27800648899805</v>
      </c>
      <c r="M72" s="31">
        <f t="shared" si="7"/>
        <v>1.03645978104509</v>
      </c>
    </row>
    <row r="73" spans="1:13">
      <c r="A73" s="31">
        <f t="shared" si="0"/>
        <v>45</v>
      </c>
      <c r="B73" s="31">
        <f>IF(A73=" "," ",($B$26-$B$3*($F$9))*((A73/($F$9))-($C$18/(PI()))*SIN((PI()*A73)/($F$9)))+$B$3*A73)</f>
        <v>2.38610624159007</v>
      </c>
      <c r="C73" s="31">
        <f t="shared" si="4"/>
        <v>1.03514429179014</v>
      </c>
      <c r="D73" s="31">
        <f t="shared" si="1"/>
        <v>45</v>
      </c>
      <c r="E73" s="31">
        <f>IF(D73=" "," ",($E$26-$B$3*($F$8))*((D73/($F$8))-($C$18/(PI()))*SIN((PI()*D73)/($F$8)))+$B$3*D73)</f>
        <v>2.38610624159007</v>
      </c>
      <c r="F73" s="31">
        <f t="shared" si="5"/>
        <v>1.03514429179014</v>
      </c>
      <c r="G73" s="31"/>
      <c r="H73" s="31">
        <f t="shared" si="2"/>
        <v>45</v>
      </c>
      <c r="I73" s="31">
        <f>IF(H73=" "," ",($I$26-$D$3*$F$13)*((H73/$F$13)-($C$18/(PI()))*SIN((PI()*H73)/$F$13))+$D$3*H73)</f>
        <v>2.50797200730518</v>
      </c>
      <c r="J73" s="31">
        <f t="shared" si="6"/>
        <v>1.03899939084141</v>
      </c>
      <c r="K73" s="31">
        <f t="shared" si="3"/>
        <v>45</v>
      </c>
      <c r="L73" s="31">
        <f>IF(K73=" "," ",($L$26-$D$3*$F$12)*((K73/$F$12)-($C$18/(PI()))*SIN((PI()*K73)/$F$12))+$D$3*K73)</f>
        <v>2.41770401944046</v>
      </c>
      <c r="M73" s="31">
        <f t="shared" si="7"/>
        <v>1.03515375850475</v>
      </c>
    </row>
    <row r="74" spans="1:13">
      <c r="A74" s="31">
        <f t="shared" si="0"/>
        <v>46</v>
      </c>
      <c r="B74" s="31">
        <f>IF(A74=" "," ",($B$26-$B$3*($F$9))*((A74/($F$9))-($C$18/(PI()))*SIN((PI()*A74)/($F$9)))+$B$3*A74)</f>
        <v>2.52859023351884</v>
      </c>
      <c r="C74" s="31">
        <f t="shared" si="4"/>
        <v>1.03388313754981</v>
      </c>
      <c r="D74" s="31">
        <f t="shared" si="1"/>
        <v>46</v>
      </c>
      <c r="E74" s="31">
        <f>IF(D74=" "," ",($E$26-$B$3*($F$8))*((D74/($F$8))-($C$18/(PI()))*SIN((PI()*D74)/($F$8)))+$B$3*D74)</f>
        <v>2.52859023351884</v>
      </c>
      <c r="F74" s="31">
        <f t="shared" si="5"/>
        <v>1.03388313754981</v>
      </c>
      <c r="G74" s="31"/>
      <c r="H74" s="31">
        <f t="shared" si="2"/>
        <v>46</v>
      </c>
      <c r="I74" s="31">
        <f>IF(H74=" "," ",($I$26-$D$3*$F$13)*((H74/$F$13)-($C$18/(PI()))*SIN((PI()*H74)/$F$13))+$D$3*H74)</f>
        <v>2.6634822736786</v>
      </c>
      <c r="J74" s="31">
        <f t="shared" si="6"/>
        <v>1.03783492921702</v>
      </c>
      <c r="K74" s="31">
        <f t="shared" si="3"/>
        <v>46</v>
      </c>
      <c r="L74" s="31">
        <f>IF(K74=" "," ",($L$26-$D$3*$F$12)*((K74/$F$12)-($C$18/(PI()))*SIN((PI()*K74)/$F$12))+$D$3*K74)</f>
        <v>2.56213617224217</v>
      </c>
      <c r="M74" s="31">
        <f t="shared" si="7"/>
        <v>1.03389195459861</v>
      </c>
    </row>
    <row r="75" spans="1:13">
      <c r="A75" s="31">
        <f t="shared" si="0"/>
        <v>47</v>
      </c>
      <c r="B75" s="31">
        <f>IF(A75=" "," ",($B$26-$B$3*($F$9))*((A75/($F$9))-($C$18/(PI()))*SIN((PI()*A75)/($F$9)))+$B$3*A75)</f>
        <v>2.67572821253432</v>
      </c>
      <c r="C75" s="31">
        <f t="shared" si="4"/>
        <v>1.03266322780338</v>
      </c>
      <c r="D75" s="31">
        <f t="shared" si="1"/>
        <v>47</v>
      </c>
      <c r="E75" s="31">
        <f>IF(D75=" "," ",($E$26-$B$3*($F$8))*((D75/($F$8))-($C$18/(PI()))*SIN((PI()*D75)/($F$8)))+$B$3*D75)</f>
        <v>2.67572821253432</v>
      </c>
      <c r="F75" s="31">
        <f t="shared" si="5"/>
        <v>1.03266322780338</v>
      </c>
      <c r="G75" s="31"/>
      <c r="H75" s="31">
        <f t="shared" si="2"/>
        <v>47</v>
      </c>
      <c r="I75" s="31">
        <f>IF(H75=" "," ",($I$26-$D$3*$F$13)*((H75/$F$13)-($C$18/(PI()))*SIN((PI()*H75)/$F$13))+$D$3*H75)</f>
        <v>2.82470174101118</v>
      </c>
      <c r="J75" s="31">
        <f t="shared" si="6"/>
        <v>1.03671269487408</v>
      </c>
      <c r="K75" s="31">
        <f t="shared" si="3"/>
        <v>47</v>
      </c>
      <c r="L75" s="31">
        <f>IF(K75=" "," ",($L$26-$D$3*$F$12)*((K75/$F$12)-($C$18/(PI()))*SIN((PI()*K75)/$F$12))+$D$3*K75)</f>
        <v>2.71128713272675</v>
      </c>
      <c r="M75" s="31">
        <f t="shared" si="7"/>
        <v>1.03267144878297</v>
      </c>
    </row>
    <row r="76" spans="1:13">
      <c r="A76" s="31">
        <f t="shared" si="0"/>
        <v>48</v>
      </c>
      <c r="B76" s="31">
        <f>IF(A76=" "," ",($B$26-$B$3*($F$9))*((A76/($F$9))-($C$18/(PI()))*SIN((PI()*A76)/($F$9)))+$B$3*A76)</f>
        <v>2.82749837137057</v>
      </c>
      <c r="C76" s="31">
        <f t="shared" si="4"/>
        <v>1.03148187743079</v>
      </c>
      <c r="D76" s="31">
        <f t="shared" si="1"/>
        <v>48</v>
      </c>
      <c r="E76" s="31">
        <f>IF(D76=" "," ",($E$26-$B$3*($F$8))*((D76/($F$8))-($C$18/(PI()))*SIN((PI()*D76)/($F$8)))+$B$3*D76)</f>
        <v>2.82749837137057</v>
      </c>
      <c r="F76" s="31">
        <f t="shared" si="5"/>
        <v>1.03148187743079</v>
      </c>
      <c r="G76" s="31"/>
      <c r="H76" s="31">
        <f t="shared" si="2"/>
        <v>48</v>
      </c>
      <c r="I76" s="31">
        <f>IF(H76=" "," ",($I$26-$D$3*$F$13)*((H76/$F$13)-($C$18/(PI()))*SIN((PI()*H76)/$F$13))+$D$3*H76)</f>
        <v>2.99166546381486</v>
      </c>
      <c r="J76" s="31">
        <f t="shared" si="6"/>
        <v>1.0356300362862</v>
      </c>
      <c r="K76" s="31">
        <f t="shared" si="3"/>
        <v>48</v>
      </c>
      <c r="L76" s="31">
        <f>IF(K76=" "," ",($L$26-$D$3*$F$12)*((K76/$F$12)-($C$18/(PI()))*SIN((PI()*K76)/$F$12))+$D$3*K76)</f>
        <v>2.86513478989732</v>
      </c>
      <c r="M76" s="31">
        <f t="shared" si="7"/>
        <v>1.0314895503906</v>
      </c>
    </row>
    <row r="77" spans="1:13">
      <c r="A77" s="31">
        <f t="shared" si="0"/>
        <v>49</v>
      </c>
      <c r="B77" s="31">
        <f>IF(A77=" "," ",($B$26-$B$3*($F$9))*((A77/($F$9))-($C$18/(PI()))*SIN((PI()*A77)/($F$9)))+$B$3*A77)</f>
        <v>2.98387272202904</v>
      </c>
      <c r="C77" s="31">
        <f t="shared" si="4"/>
        <v>1.03033660804943</v>
      </c>
      <c r="D77" s="31">
        <f t="shared" si="1"/>
        <v>49</v>
      </c>
      <c r="E77" s="31">
        <f>IF(D77=" "," ",($E$26-$B$3*($F$8))*((D77/($F$8))-($C$18/(PI()))*SIN((PI()*D77)/($F$8)))+$B$3*D77)</f>
        <v>2.98387272202904</v>
      </c>
      <c r="F77" s="31">
        <f t="shared" si="5"/>
        <v>1.03033660804943</v>
      </c>
      <c r="G77" s="31"/>
      <c r="H77" s="31">
        <f t="shared" si="2"/>
        <v>49</v>
      </c>
      <c r="I77" s="31">
        <f>IF(H77=" "," ",($I$26-$D$3*$F$13)*((H77/$F$13)-($C$18/(PI()))*SIN((PI()*H77)/$F$13))+$D$3*H77)</f>
        <v>3.16440354512491</v>
      </c>
      <c r="J77" s="31">
        <f t="shared" si="6"/>
        <v>1.03458450979292</v>
      </c>
      <c r="K77" s="31">
        <f t="shared" si="3"/>
        <v>49</v>
      </c>
      <c r="L77" s="31">
        <f>IF(K77=" "," ",($L$26-$D$3*$F$12)*((K77/$F$12)-($C$18/(PI()))*SIN((PI()*K77)/$F$12))+$D$3*K77)</f>
        <v>3.02365076593928</v>
      </c>
      <c r="M77" s="31">
        <f t="shared" si="7"/>
        <v>1.03034377615656</v>
      </c>
    </row>
    <row r="78" spans="1:13">
      <c r="A78" s="31">
        <f t="shared" si="0"/>
        <v>50</v>
      </c>
      <c r="B78" s="31">
        <f>IF(A78=" "," ",($B$26-$B$3*($F$9))*((A78/($F$9))-($C$18/(PI()))*SIN((PI()*A78)/($F$9)))+$B$3*A78)</f>
        <v>3.144817133123</v>
      </c>
      <c r="C78" s="31">
        <f t="shared" si="4"/>
        <v>1.02922512813805</v>
      </c>
      <c r="D78" s="31">
        <f t="shared" si="1"/>
        <v>50</v>
      </c>
      <c r="E78" s="31">
        <f>IF(D78=" "," ",($E$26-$B$3*($F$8))*((D78/($F$8))-($C$18/(PI()))*SIN((PI()*D78)/($F$8)))+$B$3*D78)</f>
        <v>3.144817133123</v>
      </c>
      <c r="F78" s="31">
        <f t="shared" si="5"/>
        <v>1.02922512813805</v>
      </c>
      <c r="G78" s="31"/>
      <c r="H78" s="31">
        <f t="shared" si="2"/>
        <v>50</v>
      </c>
      <c r="I78" s="31">
        <f>IF(H78=" "," ",($I$26-$D$3*$F$13)*((H78/$F$13)-($C$18/(PI()))*SIN((PI()*H78)/$F$13))+$D$3*H78)</f>
        <v>3.34294111055147</v>
      </c>
      <c r="J78" s="31">
        <f t="shared" si="6"/>
        <v>1.03357385975654</v>
      </c>
      <c r="K78" s="31">
        <f t="shared" si="3"/>
        <v>50</v>
      </c>
      <c r="L78" s="31">
        <f>IF(K78=" "," ",($L$26-$D$3*$F$12)*((K78/$F$12)-($C$18/(PI()))*SIN((PI()*K78)/$F$12))+$D$3*K78)</f>
        <v>3.18680045408496</v>
      </c>
      <c r="M78" s="31">
        <f t="shared" si="7"/>
        <v>1.02923183025095</v>
      </c>
    </row>
    <row r="79" spans="1:13">
      <c r="A79" s="31">
        <f t="shared" si="0"/>
        <v>51</v>
      </c>
      <c r="B79" s="31">
        <f>IF(A79=" "," ",($B$26-$B$3*($F$9))*((A79/($F$9))-($C$18/(PI()))*SIN((PI()*A79)/($F$9)))+$B$3*A79)</f>
        <v>3.31029137541921</v>
      </c>
      <c r="C79" s="31">
        <f t="shared" si="4"/>
        <v>1.02814531533871</v>
      </c>
      <c r="D79" s="31">
        <f t="shared" si="1"/>
        <v>51</v>
      </c>
      <c r="E79" s="31">
        <f>IF(D79=" "," ",($E$26-$B$3*($F$8))*((D79/($F$8))-($C$18/(PI()))*SIN((PI()*D79)/($F$8)))+$B$3*D79)</f>
        <v>3.31029137541921</v>
      </c>
      <c r="F79" s="31">
        <f t="shared" si="5"/>
        <v>1.02814531533871</v>
      </c>
      <c r="G79" s="31"/>
      <c r="H79" s="31">
        <f t="shared" si="2"/>
        <v>51</v>
      </c>
      <c r="I79" s="31">
        <f>IF(H79=" "," ",($I$26-$D$3*$F$13)*((H79/$F$13)-($C$18/(PI()))*SIN((PI()*H79)/$F$13))+$D$3*H79)</f>
        <v>3.52729828662161</v>
      </c>
      <c r="J79" s="31">
        <f t="shared" si="6"/>
        <v>1.03259600090141</v>
      </c>
      <c r="K79" s="31">
        <f t="shared" si="3"/>
        <v>51</v>
      </c>
      <c r="L79" s="31">
        <f>IF(K79=" "," ",($L$26-$D$3*$F$12)*((K79/$F$12)-($C$18/(PI()))*SIN((PI()*K79)/$F$12))+$D$3*K79)</f>
        <v>3.35454306478953</v>
      </c>
      <c r="M79" s="31">
        <f t="shared" si="7"/>
        <v>1.02815158650368</v>
      </c>
    </row>
    <row r="80" spans="1:13">
      <c r="A80" s="31">
        <f t="shared" si="0"/>
        <v>52</v>
      </c>
      <c r="B80" s="31">
        <f>IF(A80=" "," ",($B$26-$B$3*($F$9))*((A80/($F$9))-($C$18/(PI()))*SIN((PI()*A80)/($F$9)))+$B$3*A80)</f>
        <v>3.48024917551588</v>
      </c>
      <c r="C80" s="31">
        <f t="shared" si="4"/>
        <v>1.02709520066832</v>
      </c>
      <c r="D80" s="31">
        <f t="shared" si="1"/>
        <v>52</v>
      </c>
      <c r="E80" s="31">
        <f>IF(D80=" "," ",($E$26-$B$3*($F$8))*((D80/($F$8))-($C$18/(PI()))*SIN((PI()*D80)/($F$8)))+$B$3*D80)</f>
        <v>3.48024917551588</v>
      </c>
      <c r="F80" s="31">
        <f t="shared" si="5"/>
        <v>1.02709520066832</v>
      </c>
      <c r="G80" s="31"/>
      <c r="H80" s="31">
        <f t="shared" si="2"/>
        <v>52</v>
      </c>
      <c r="I80" s="31">
        <f>IF(H80=" "," ",($I$26-$D$3*$F$13)*((H80/$F$13)-($C$18/(PI()))*SIN((PI()*H80)/$F$13))+$D$3*H80)</f>
        <v>3.71749018343051</v>
      </c>
      <c r="J80" s="31">
        <f t="shared" si="6"/>
        <v>1.03164900256734</v>
      </c>
      <c r="K80" s="31">
        <f t="shared" si="3"/>
        <v>52</v>
      </c>
      <c r="L80" s="31">
        <f>IF(K80=" "," ",($L$26-$D$3*$F$12)*((K80/$F$12)-($C$18/(PI()))*SIN((PI()*K80)/$F$12))+$D$3*K80)</f>
        <v>3.5268316801566</v>
      </c>
      <c r="M80" s="31">
        <f t="shared" si="7"/>
        <v>1.02710107255043</v>
      </c>
    </row>
    <row r="81" spans="1:13">
      <c r="A81" s="31">
        <f t="shared" si="0"/>
        <v>53</v>
      </c>
      <c r="B81" s="31">
        <f>IF(A81=" "," ",($B$26-$B$3*($F$9))*((A81/($F$9))-($C$18/(PI()))*SIN((PI()*A81)/($F$9)))+$B$3*A81)</f>
        <v>3.65463827758541</v>
      </c>
      <c r="C81" s="31">
        <f t="shared" si="4"/>
        <v>1.02607295440606</v>
      </c>
      <c r="D81" s="31">
        <f t="shared" si="1"/>
        <v>53</v>
      </c>
      <c r="E81" s="31">
        <f>IF(D81=" "," ",($E$26-$B$3*($F$8))*((D81/($F$8))-($C$18/(PI()))*SIN((PI()*D81)/($F$8)))+$B$3*D81)</f>
        <v>3.65463827758541</v>
      </c>
      <c r="F81" s="31">
        <f t="shared" si="5"/>
        <v>1.02607295440606</v>
      </c>
      <c r="G81" s="31"/>
      <c r="H81" s="31">
        <f t="shared" si="2"/>
        <v>53</v>
      </c>
      <c r="I81" s="31">
        <f>IF(H81=" "," ",($I$26-$D$3*$F$13)*((H81/$F$13)-($C$18/(PI()))*SIN((PI()*H81)/$F$13))+$D$3*H81)</f>
        <v>3.91352688161671</v>
      </c>
      <c r="J81" s="31">
        <f t="shared" si="6"/>
        <v>1.0307310746429</v>
      </c>
      <c r="K81" s="31">
        <f t="shared" si="3"/>
        <v>53</v>
      </c>
      <c r="L81" s="31">
        <f>IF(K81=" "," ",($L$26-$D$3*$F$12)*((K81/$F$12)-($C$18/(PI()))*SIN((PI()*K81)/$F$12))+$D$3*K81)</f>
        <v>3.70361331654096</v>
      </c>
      <c r="M81" s="31">
        <f t="shared" si="7"/>
        <v>1.02607845566413</v>
      </c>
    </row>
    <row r="82" spans="1:13">
      <c r="A82" s="31">
        <f t="shared" si="0"/>
        <v>54</v>
      </c>
      <c r="B82" s="31">
        <f>IF(A82=" "," ",($B$26-$B$3*($F$9))*((A82/($F$9))-($C$18/(PI()))*SIN((PI()*A82)/($F$9)))+$B$3*A82)</f>
        <v>3.83340051309958</v>
      </c>
      <c r="C82" s="31">
        <f t="shared" si="4"/>
        <v>1.02507687345558</v>
      </c>
      <c r="D82" s="31">
        <f t="shared" si="1"/>
        <v>54</v>
      </c>
      <c r="E82" s="31">
        <f>IF(D82=" "," ",($E$26-$B$3*($F$8))*((D82/($F$8))-($C$18/(PI()))*SIN((PI()*D82)/($F$8)))+$B$3*D82)</f>
        <v>3.83340051309958</v>
      </c>
      <c r="F82" s="31">
        <f t="shared" si="5"/>
        <v>1.02507687345558</v>
      </c>
      <c r="G82" s="31"/>
      <c r="H82" s="31">
        <f t="shared" si="2"/>
        <v>54</v>
      </c>
      <c r="I82" s="31">
        <f>IF(H82=" "," ",($I$26-$D$3*$F$13)*((H82/$F$13)-($C$18/(PI()))*SIN((PI()*H82)/$F$13))+$D$3*H82)</f>
        <v>4.11541342367278</v>
      </c>
      <c r="J82" s="31">
        <f t="shared" si="6"/>
        <v>1.02984055497769</v>
      </c>
      <c r="K82" s="31">
        <f t="shared" si="3"/>
        <v>54</v>
      </c>
      <c r="L82" s="31">
        <f>IF(K82=" "," ",($L$26-$D$3*$F$12)*((K82/$F$12)-($C$18/(PI()))*SIN((PI()*K82)/$F$12))+$D$3*K82)</f>
        <v>3.88482899524479</v>
      </c>
      <c r="M82" s="31">
        <f t="shared" si="7"/>
        <v>1.02508203006922</v>
      </c>
    </row>
    <row r="83" spans="1:13">
      <c r="A83" s="31">
        <f t="shared" si="0"/>
        <v>55</v>
      </c>
      <c r="B83" s="31">
        <f>IF(A83=" "," ",($B$26-$B$3*($F$9))*((A83/($F$9))-($C$18/(PI()))*SIN((PI()*A83)/($F$9)))+$B$3*A83)</f>
        <v>4.01647187844392</v>
      </c>
      <c r="C83" s="31">
        <f t="shared" si="4"/>
        <v>1.02410537000603</v>
      </c>
      <c r="D83" s="31">
        <f t="shared" si="1"/>
        <v>55</v>
      </c>
      <c r="E83" s="31">
        <f>IF(D83=" "," ",($E$26-$B$3*($F$8))*((D83/($F$8))-($C$18/(PI()))*SIN((PI()*D83)/($F$8)))+$B$3*D83)</f>
        <v>4.01647187844392</v>
      </c>
      <c r="F83" s="31">
        <f t="shared" si="5"/>
        <v>1.02410537000603</v>
      </c>
      <c r="G83" s="31"/>
      <c r="H83" s="31">
        <f t="shared" si="2"/>
        <v>55</v>
      </c>
      <c r="I83" s="31">
        <f>IF(H83=" "," ",($I$26-$D$3*$F$13)*((H83/$F$13)-($C$18/(PI()))*SIN((PI()*H83)/$F$13))+$D$3*H83)</f>
        <v>4.32314980959873</v>
      </c>
      <c r="J83" s="31">
        <f t="shared" si="6"/>
        <v>1.0289758980975</v>
      </c>
      <c r="K83" s="31">
        <f t="shared" si="3"/>
        <v>55</v>
      </c>
      <c r="L83" s="31">
        <f>IF(K83=" "," ",($L$26-$D$3*$F$12)*((K83/$F$12)-($C$18/(PI()))*SIN((PI()*K83)/$F$12))+$D$3*K83)</f>
        <v>4.07041382121318</v>
      </c>
      <c r="M83" s="31">
        <f t="shared" si="7"/>
        <v>1.02411020556169</v>
      </c>
    </row>
    <row r="84" spans="1:13">
      <c r="A84" s="31">
        <f t="shared" si="0"/>
        <v>56</v>
      </c>
      <c r="B84" s="31">
        <f>IF(A84=" "," ",($B$26-$B$3*($F$9))*((A84/($F$9))-($C$18/(PI()))*SIN((PI()*A84)/($F$9)))+$B$3*A84)</f>
        <v>4.203782620318</v>
      </c>
      <c r="C84" s="31">
        <f t="shared" si="4"/>
        <v>1.02315696134001</v>
      </c>
      <c r="D84" s="31">
        <f t="shared" si="1"/>
        <v>56</v>
      </c>
      <c r="E84" s="31">
        <f>IF(D84=" "," ",($E$26-$B$3*($F$8))*((D84/($F$8))-($C$18/(PI()))*SIN((PI()*D84)/($F$8)))+$B$3*D84)</f>
        <v>4.203782620318</v>
      </c>
      <c r="F84" s="31">
        <f t="shared" si="5"/>
        <v>1.02315696134001</v>
      </c>
      <c r="G84" s="31"/>
      <c r="H84" s="31">
        <f t="shared" si="2"/>
        <v>56</v>
      </c>
      <c r="I84" s="31">
        <f>IF(H84=" "," ",($I$26-$D$3*$F$13)*((H84/$F$13)-($C$18/(PI()))*SIN((PI()*H84)/$F$13))+$D$3*H84)</f>
        <v>4.53673099690198</v>
      </c>
      <c r="J84" s="31">
        <f t="shared" si="6"/>
        <v>1.02813566507021</v>
      </c>
      <c r="K84" s="31">
        <f t="shared" si="3"/>
        <v>56</v>
      </c>
      <c r="L84" s="31">
        <f>IF(K84=" "," ",($L$26-$D$3*$F$12)*((K84/$F$12)-($C$18/(PI()))*SIN((PI()*K84)/$F$12))+$D$3*K84)</f>
        <v>4.26029706962375</v>
      </c>
      <c r="M84" s="31">
        <f t="shared" si="7"/>
        <v>1.02316149728168</v>
      </c>
    </row>
    <row r="85" spans="1:13">
      <c r="A85" s="31">
        <f t="shared" si="0"/>
        <v>57</v>
      </c>
      <c r="B85" s="31">
        <f>IF(A85=" "," ",($B$26-$B$3*($F$9))*((A85/($F$9))-($C$18/(PI()))*SIN((PI()*A85)/($F$9)))+$B$3*A85)</f>
        <v>4.39525732880747</v>
      </c>
      <c r="C85" s="31">
        <f t="shared" si="4"/>
        <v>1.02223026065523</v>
      </c>
      <c r="D85" s="31">
        <f t="shared" si="1"/>
        <v>57</v>
      </c>
      <c r="E85" s="31">
        <f>IF(D85=" "," ",($E$26-$B$3*($F$8))*((D85/($F$8))-($C$18/(PI()))*SIN((PI()*D85)/($F$8)))+$B$3*D85)</f>
        <v>4.39525732880747</v>
      </c>
      <c r="F85" s="31">
        <f t="shared" si="5"/>
        <v>1.02223026065523</v>
      </c>
      <c r="G85" s="31"/>
      <c r="H85" s="31">
        <f t="shared" si="2"/>
        <v>57</v>
      </c>
      <c r="I85" s="31">
        <f>IF(H85=" "," ",($I$26-$D$3*$F$13)*((H85/$F$13)-($C$18/(PI()))*SIN((PI()*H85)/$F$13))+$D$3*H85)</f>
        <v>4.75614690494399</v>
      </c>
      <c r="J85" s="31">
        <f t="shared" si="6"/>
        <v>1.02731851438988</v>
      </c>
      <c r="K85" s="31">
        <f t="shared" si="3"/>
        <v>57</v>
      </c>
      <c r="L85" s="31">
        <f>IF(K85=" "," ",($L$26-$D$3*$F$12)*((K85/$F$12)-($C$18/(PI()))*SIN((PI()*K85)/$F$12))+$D$3*K85)</f>
        <v>4.45440228025507</v>
      </c>
      <c r="M85" s="31">
        <f t="shared" si="7"/>
        <v>1.02223451650468</v>
      </c>
    </row>
    <row r="86" spans="1:13">
      <c r="A86" s="31">
        <f t="shared" si="0"/>
        <v>58</v>
      </c>
      <c r="B86" s="31">
        <f>IF(A86=" "," ",($B$26-$B$3*($F$9))*((A86/($F$9))-($C$18/(PI()))*SIN((PI()*A86)/($F$9)))+$B$3*A86)</f>
        <v>4.59081503800375</v>
      </c>
      <c r="C86" s="31">
        <f t="shared" si="4"/>
        <v>1.02132396878427</v>
      </c>
      <c r="D86" s="31">
        <f t="shared" si="1"/>
        <v>58</v>
      </c>
      <c r="E86" s="31">
        <f>IF(D86=" "," ",($E$26-$B$3*($F$8))*((D86/($F$8))-($C$18/(PI()))*SIN((PI()*D86)/($F$8)))+$B$3*D86)</f>
        <v>4.59081503800375</v>
      </c>
      <c r="F86" s="31">
        <f t="shared" si="5"/>
        <v>1.02132396878427</v>
      </c>
      <c r="G86" s="31"/>
      <c r="H86" s="31">
        <f t="shared" si="2"/>
        <v>58</v>
      </c>
      <c r="I86" s="31">
        <f>IF(H86=" "," ",($I$26-$D$3*$F$13)*((H86/$F$13)-($C$18/(PI()))*SIN((PI()*H86)/$F$13))+$D$3*H86)</f>
        <v>4.98138242362958</v>
      </c>
      <c r="J86" s="31">
        <f t="shared" si="6"/>
        <v>1.02652319376254</v>
      </c>
      <c r="K86" s="31">
        <f t="shared" si="3"/>
        <v>58</v>
      </c>
      <c r="L86" s="31">
        <f>IF(K86=" "," ",($L$26-$D$3*$F$12)*((K86/$F$12)-($C$18/(PI()))*SIN((PI()*K86)/$F$12))+$D$3*K86)</f>
        <v>4.65264735950775</v>
      </c>
      <c r="M86" s="31">
        <f t="shared" si="7"/>
        <v>1.02132796233494</v>
      </c>
    </row>
    <row r="87" spans="1:13">
      <c r="A87" s="31">
        <f t="shared" si="0"/>
        <v>59</v>
      </c>
      <c r="B87" s="31">
        <f>IF(A87=" "," ",($B$26-$B$3*($F$9))*((A87/($F$9))-($C$18/(PI()))*SIN((PI()*A87)/($F$9)))+$B$3*A87)</f>
        <v>4.7903693340371</v>
      </c>
      <c r="C87" s="31">
        <f t="shared" si="4"/>
        <v>1.0204368667106</v>
      </c>
      <c r="D87" s="31">
        <f t="shared" si="1"/>
        <v>59</v>
      </c>
      <c r="E87" s="31">
        <f>IF(D87=" "," ",($E$26-$B$3*($F$8))*((D87/($F$8))-($C$18/(PI()))*SIN((PI()*D87)/($F$8)))+$B$3*D87)</f>
        <v>4.7903693340371</v>
      </c>
      <c r="F87" s="31">
        <f t="shared" si="5"/>
        <v>1.0204368667106</v>
      </c>
      <c r="G87" s="31"/>
      <c r="H87" s="31">
        <f t="shared" si="2"/>
        <v>59</v>
      </c>
      <c r="I87" s="31">
        <f>IF(H87=" "," ",($I$26-$D$3*$F$13)*((H87/$F$13)-($C$18/(PI()))*SIN((PI()*H87)/$F$13))+$D$3*H87)</f>
        <v>5.21241742643168</v>
      </c>
      <c r="J87" s="31">
        <f t="shared" si="6"/>
        <v>1.02574853269307</v>
      </c>
      <c r="K87" s="31">
        <f t="shared" si="3"/>
        <v>59</v>
      </c>
      <c r="L87" s="31">
        <f>IF(K87=" "," ",($L$26-$D$3*$F$12)*((K87/$F$12)-($C$18/(PI()))*SIN((PI()*K87)/$F$12))+$D$3*K87)</f>
        <v>4.85494468994221</v>
      </c>
      <c r="M87" s="31">
        <f t="shared" si="7"/>
        <v>1.02044061419859</v>
      </c>
    </row>
    <row r="88" spans="1:13">
      <c r="A88" s="31">
        <f t="shared" si="0"/>
        <v>60</v>
      </c>
      <c r="B88" s="31">
        <f>IF(A88=" "," ",($B$26-$B$3*($F$9))*((A88/($F$9))-($C$18/(PI()))*SIN((PI()*A88)/($F$9)))+$B$3*A88)</f>
        <v>4.99382847037894</v>
      </c>
      <c r="C88" s="31">
        <f t="shared" si="4"/>
        <v>1.01956780879245</v>
      </c>
      <c r="D88" s="31">
        <f t="shared" si="1"/>
        <v>60</v>
      </c>
      <c r="E88" s="31">
        <f>IF(D88=" "," ",($E$26-$B$3*($F$8))*((D88/($F$8))-($C$18/(PI()))*SIN((PI()*D88)/($F$8)))+$B$3*D88)</f>
        <v>4.99382847037894</v>
      </c>
      <c r="F88" s="31">
        <f t="shared" si="5"/>
        <v>1.01956780879245</v>
      </c>
      <c r="G88" s="31"/>
      <c r="H88" s="31">
        <f t="shared" si="2"/>
        <v>60</v>
      </c>
      <c r="I88" s="31">
        <f>IF(H88=" "," ",($I$26-$D$3*$F$13)*((H88/$F$13)-($C$18/(PI()))*SIN((PI()*H88)/$F$13))+$D$3*H88)</f>
        <v>5.44922678774015</v>
      </c>
      <c r="J88" s="31">
        <f t="shared" si="6"/>
        <v>1.02499343578389</v>
      </c>
      <c r="K88" s="31">
        <f t="shared" si="3"/>
        <v>60</v>
      </c>
      <c r="L88" s="31">
        <f>IF(K88=" "," ",($L$26-$D$3*$F$12)*((K88/$F$12)-($C$18/(PI()))*SIN((PI()*K88)/$F$12))+$D$3*K88)</f>
        <v>5.06120124718688</v>
      </c>
      <c r="M88" s="31">
        <f t="shared" si="7"/>
        <v>1.01957132504774</v>
      </c>
    </row>
    <row r="89" spans="1:13">
      <c r="A89" s="31">
        <f t="shared" si="0"/>
        <v>61</v>
      </c>
      <c r="B89" s="31">
        <f>IF(A89=" "," ",($B$26-$B$3*($F$9))*((A89/($F$9))-($C$18/(PI()))*SIN((PI()*A89)/($F$9)))+$B$3*A89)</f>
        <v>5.20109549025955</v>
      </c>
      <c r="C89" s="31">
        <f t="shared" si="4"/>
        <v>1.01871571661628</v>
      </c>
      <c r="D89" s="31">
        <f t="shared" si="1"/>
        <v>61</v>
      </c>
      <c r="E89" s="31">
        <f>IF(D89=" "," ",($E$26-$B$3*($F$8))*((D89/($F$8))-($C$18/(PI()))*SIN((PI()*D89)/($F$8)))+$B$3*D89)</f>
        <v>5.20109549025955</v>
      </c>
      <c r="F89" s="31">
        <f t="shared" si="5"/>
        <v>1.01871571661628</v>
      </c>
      <c r="G89" s="31"/>
      <c r="H89" s="31">
        <f t="shared" si="2"/>
        <v>61</v>
      </c>
      <c r="I89" s="31">
        <f>IF(H89=" "," ",($I$26-$D$3*$F$13)*((H89/$F$13)-($C$18/(PI()))*SIN((PI()*H89)/$F$13))+$D$3*H89)</f>
        <v>5.69178040451972</v>
      </c>
      <c r="J89" s="31">
        <f t="shared" si="6"/>
        <v>1.02425687666805</v>
      </c>
      <c r="K89" s="31">
        <f t="shared" si="3"/>
        <v>61</v>
      </c>
      <c r="L89" s="31">
        <f>IF(K89=" "," ",($L$26-$D$3*$F$12)*((K89/$F$12)-($C$18/(PI()))*SIN((PI()*K89)/$F$12))+$D$3*K89)</f>
        <v>5.271318724061</v>
      </c>
      <c r="M89" s="31">
        <f t="shared" si="7"/>
        <v>1.0187190151965</v>
      </c>
    </row>
    <row r="90" spans="1:13">
      <c r="A90" s="31">
        <f t="shared" si="0"/>
        <v>62</v>
      </c>
      <c r="B90" s="31">
        <f>IF(A90=" "," ",($B$26-$B$3*($F$9))*((A90/($F$9))-($C$18/(PI()))*SIN((PI()*A90)/($F$9)))+$B$3*A90)</f>
        <v>5.41206835603778</v>
      </c>
      <c r="C90" s="31">
        <f t="shared" si="4"/>
        <v>1.01787957341091</v>
      </c>
      <c r="D90" s="31">
        <f t="shared" si="1"/>
        <v>62</v>
      </c>
      <c r="E90" s="31">
        <f>IF(D90=" "," ",($E$26-$B$3*($F$8))*((D90/($F$8))-($C$18/(PI()))*SIN((PI()*D90)/($F$8)))+$B$3*D90)</f>
        <v>5.41206835603778</v>
      </c>
      <c r="F90" s="31">
        <f t="shared" si="5"/>
        <v>1.01787957341091</v>
      </c>
      <c r="G90" s="31"/>
      <c r="H90" s="31">
        <f t="shared" si="2"/>
        <v>62</v>
      </c>
      <c r="I90" s="31">
        <f>IF(H90=" "," ",($I$26-$D$3*$F$13)*((H90/$F$13)-($C$18/(PI()))*SIN((PI()*H90)/$F$13))+$D$3*H90)</f>
        <v>5.94004322225845</v>
      </c>
      <c r="J90" s="31">
        <f t="shared" si="6"/>
        <v>1.02353789250789</v>
      </c>
      <c r="K90" s="31">
        <f t="shared" si="3"/>
        <v>62</v>
      </c>
      <c r="L90" s="31">
        <f>IF(K90=" "," ",($L$26-$D$3*$F$12)*((K90/$F$12)-($C$18/(PI()))*SIN((PI()*K90)/$F$12))+$D$3*K90)</f>
        <v>5.48519366174613</v>
      </c>
      <c r="M90" s="31">
        <f t="shared" si="7"/>
        <v>1.0178826667201</v>
      </c>
    </row>
    <row r="91" spans="1:13">
      <c r="A91" s="31">
        <f t="shared" si="0"/>
        <v>63</v>
      </c>
      <c r="B91" s="31">
        <f>IF(A91=" "," ",($B$26-$B$3*($F$9))*((A91/($F$9))-($C$18/(PI()))*SIN((PI()*A91)/($F$9)))+$B$3*A91)</f>
        <v>5.62664008535022</v>
      </c>
      <c r="C91" s="31">
        <f t="shared" si="4"/>
        <v>1.01705841896274</v>
      </c>
      <c r="D91" s="31">
        <f t="shared" si="1"/>
        <v>63</v>
      </c>
      <c r="E91" s="31">
        <f>IF(D91=" "," ",($E$26-$B$3*($F$8))*((D91/($F$8))-($C$18/(PI()))*SIN((PI()*D91)/($F$8)))+$B$3*D91)</f>
        <v>5.62664008535022</v>
      </c>
      <c r="F91" s="31">
        <f t="shared" si="5"/>
        <v>1.01705841896274</v>
      </c>
      <c r="G91" s="31"/>
      <c r="H91" s="31">
        <f t="shared" si="2"/>
        <v>63</v>
      </c>
      <c r="I91" s="31">
        <f>IF(H91=" "," ",($I$26-$D$3*$F$13)*((H91/$F$13)-($C$18/(PI()))*SIN((PI()*H91)/$F$13))+$D$3*H91)</f>
        <v>6.19397526518427</v>
      </c>
      <c r="J91" s="31">
        <f t="shared" si="6"/>
        <v>1.02283557899941</v>
      </c>
      <c r="K91" s="31">
        <f t="shared" si="3"/>
        <v>63</v>
      </c>
      <c r="L91" s="31">
        <f>IF(K91=" "," ",($L$26-$D$3*$F$12)*((K91/$F$12)-($C$18/(PI()))*SIN((PI()*K91)/$F$12))+$D$3*K91)</f>
        <v>5.70271758783163</v>
      </c>
      <c r="M91" s="31">
        <f t="shared" si="7"/>
        <v>1.01706131835673</v>
      </c>
    </row>
    <row r="92" spans="1:13">
      <c r="A92" s="31">
        <f t="shared" si="0"/>
        <v>64</v>
      </c>
      <c r="B92" s="31">
        <f>IF(A92=" "," ",($B$26-$B$3*($F$9))*((A92/($F$9))-($C$18/(PI()))*SIN((PI()*A92)/($F$9)))+$B$3*A92)</f>
        <v>5.84469889385812</v>
      </c>
      <c r="C92" s="31">
        <f t="shared" si="4"/>
        <v>1.01625134497743</v>
      </c>
      <c r="D92" s="31">
        <f t="shared" si="1"/>
        <v>64</v>
      </c>
      <c r="E92" s="31">
        <f>IF(D92=" "," ",($E$26-$B$3*($F$8))*((D92/($F$8))-($C$18/(PI()))*SIN((PI()*D92)/($F$8)))+$B$3*D92)</f>
        <v>5.84469889385812</v>
      </c>
      <c r="F92" s="31">
        <f t="shared" si="5"/>
        <v>1.01625134497743</v>
      </c>
      <c r="G92" s="31"/>
      <c r="H92" s="31">
        <f t="shared" si="2"/>
        <v>64</v>
      </c>
      <c r="I92" s="31">
        <f>IF(H92=" "," ",($I$26-$D$3*$F$13)*((H92/$F$13)-($C$18/(PI()))*SIN((PI()*H92)/$F$13))+$D$3*H92)</f>
        <v>6.45353167072359</v>
      </c>
      <c r="J92" s="31">
        <f t="shared" si="6"/>
        <v>1.02214908582905</v>
      </c>
      <c r="K92" s="31">
        <f t="shared" si="3"/>
        <v>64</v>
      </c>
      <c r="L92" s="31">
        <f>IF(K92=" "," ",($L$26-$D$3*$F$12)*((K92/$F$12)-($C$18/(PI()))*SIN((PI()*K92)/$F$12))+$D$3*K92)</f>
        <v>5.92377716104974</v>
      </c>
      <c r="M92" s="31">
        <f t="shared" si="7"/>
        <v>1.01625406085777</v>
      </c>
    </row>
    <row r="93" spans="1:13">
      <c r="A93" s="31">
        <f t="shared" ref="A93:A156" si="8">IF(($F$9)-ROW(A65)&gt;=0,($F$9)-(($F$9)-ROW(A65))," ")</f>
        <v>65</v>
      </c>
      <c r="B93" s="31">
        <f>IF(A93=" "," ",($B$26-$B$3*($F$9))*((A93/($F$9))-($C$18/(PI()))*SIN((PI()*A93)/($F$9)))+$B$3*A93)</f>
        <v>6.0661283444016</v>
      </c>
      <c r="C93" s="31">
        <f t="shared" si="4"/>
        <v>1.0154574908422</v>
      </c>
      <c r="D93" s="31">
        <f t="shared" ref="D93:D156" si="9">IF(($F$8)-ROW(D65)&gt;=0,($F$8)-(($F$8)-ROW(D65))," ")</f>
        <v>65</v>
      </c>
      <c r="E93" s="31">
        <f>IF(D93=" "," ",($E$26-$B$3*($F$8))*((D93/($F$8))-($C$18/(PI()))*SIN((PI()*D93)/($F$8)))+$B$3*D93)</f>
        <v>6.0661283444016</v>
      </c>
      <c r="F93" s="31">
        <f t="shared" si="5"/>
        <v>1.0154574908422</v>
      </c>
      <c r="G93" s="31"/>
      <c r="H93" s="31">
        <f t="shared" ref="H93:H156" si="10">IF($F$13-ROW(H65)&gt;=0,$F$13-($F$13-ROW(H65))," ")</f>
        <v>65</v>
      </c>
      <c r="I93" s="31">
        <f>IF(H93=" "," ",($I$26-$D$3*$F$13)*((H93/$F$13)-($C$18/(PI()))*SIN((PI()*H93)/$F$13))+$D$3*H93)</f>
        <v>6.71866272817233</v>
      </c>
      <c r="J93" s="31">
        <f t="shared" si="6"/>
        <v>1.021477612536</v>
      </c>
      <c r="K93" s="31">
        <f t="shared" ref="K93:K156" si="11">IF($F$12-ROW(K65)&gt;=0,$F$12-($F$12-ROW(K65))," ")</f>
        <v>65</v>
      </c>
      <c r="L93" s="31">
        <f>IF(K93=" "," ",($L$26-$D$3*$F$12)*((K93/$F$12)-($C$18/(PI()))*SIN((PI()*K93)/$F$12))+$D$3*K93)</f>
        <v>6.14825432250722</v>
      </c>
      <c r="M93" s="31">
        <f t="shared" si="7"/>
        <v>1.01546003273964</v>
      </c>
    </row>
    <row r="94" spans="1:13">
      <c r="A94" s="31">
        <f t="shared" si="8"/>
        <v>66</v>
      </c>
      <c r="B94" s="31">
        <f>IF(A94=" "," ",($B$26-$B$3*($F$9))*((A94/($F$9))-($C$18/(PI()))*SIN((PI()*A94)/($F$9)))+$B$3*A94)</f>
        <v>6.2908075023621</v>
      </c>
      <c r="C94" s="31">
        <f t="shared" ref="C94:C157" si="12">IF(A94=" "," ",(B94-B93)/(B93-B92))</f>
        <v>1.01467603974563</v>
      </c>
      <c r="D94" s="31">
        <f t="shared" si="9"/>
        <v>66</v>
      </c>
      <c r="E94" s="31">
        <f>IF(D94=" "," ",($E$26-$B$3*($F$8))*((D94/($F$8))-($C$18/(PI()))*SIN((PI()*D94)/($F$8)))+$B$3*D94)</f>
        <v>6.2908075023621</v>
      </c>
      <c r="F94" s="31">
        <f t="shared" ref="F94:F157" si="13">IF(D94=" "," ",(E94-E93)/(E93-E92))</f>
        <v>1.01467603974563</v>
      </c>
      <c r="G94" s="31"/>
      <c r="H94" s="31">
        <f t="shared" si="10"/>
        <v>66</v>
      </c>
      <c r="I94" s="31">
        <f>IF(H94=" "," ",($I$26-$D$3*$F$13)*((H94/$F$13)-($C$18/(PI()))*SIN((PI()*H94)/$F$13))+$D$3*H94)</f>
        <v>6.98931392154586</v>
      </c>
      <c r="J94" s="31">
        <f t="shared" ref="J94:J157" si="14">IF(H94=" "," ",(I94-I93)/(I93-I92))</f>
        <v>1.02082040473835</v>
      </c>
      <c r="K94" s="31">
        <f t="shared" si="11"/>
        <v>66</v>
      </c>
      <c r="L94" s="31">
        <f>IF(K94=" "," ",($L$26-$D$3*$F$12)*((K94/$F$12)-($C$18/(PI()))*SIN((PI()*K94)/$F$12))+$D$3*K94)</f>
        <v>6.37602645321169</v>
      </c>
      <c r="M94" s="31">
        <f t="shared" ref="M94:M157" si="15">IF(K94=" "," ",(L94-L93)/(L93-L92))</f>
        <v>1.01467841639477</v>
      </c>
    </row>
    <row r="95" spans="1:13">
      <c r="A95" s="31">
        <f t="shared" si="8"/>
        <v>67</v>
      </c>
      <c r="B95" s="31">
        <f>IF(A95=" "," ",($B$26-$B$3*($F$9))*((A95/($F$9))-($C$18/(PI()))*SIN((PI()*A95)/($F$9)))+$B$3*A95)</f>
        <v>6.5186110970259</v>
      </c>
      <c r="C95" s="31">
        <f t="shared" si="12"/>
        <v>1.01390621511871</v>
      </c>
      <c r="D95" s="31">
        <f t="shared" si="9"/>
        <v>67</v>
      </c>
      <c r="E95" s="31">
        <f>IF(D95=" "," ",($E$26-$B$3*($F$8))*((D95/($F$8))-($C$18/(PI()))*SIN((PI()*D95)/($F$8)))+$B$3*D95)</f>
        <v>6.5186110970259</v>
      </c>
      <c r="F95" s="31">
        <f t="shared" si="13"/>
        <v>1.01390621511871</v>
      </c>
      <c r="G95" s="31"/>
      <c r="H95" s="31">
        <f t="shared" si="10"/>
        <v>67</v>
      </c>
      <c r="I95" s="31">
        <f>IF(H95=" "," ",($I$26-$D$3*$F$13)*((H95/$F$13)-($C$18/(PI()))*SIN((PI()*H95)/$F$13))+$D$3*H95)</f>
        <v>7.26542597657113</v>
      </c>
      <c r="J95" s="31">
        <f t="shared" si="14"/>
        <v>1.02017675068667</v>
      </c>
      <c r="K95" s="31">
        <f t="shared" si="11"/>
        <v>67</v>
      </c>
      <c r="L95" s="31">
        <f>IF(K95=" "," ",($L$26-$D$3*$F$12)*((K95/$F$12)-($C$18/(PI()))*SIN((PI()*K95)/$F$12))+$D$3*K95)</f>
        <v>6.60696653768256</v>
      </c>
      <c r="M95" s="31">
        <f t="shared" si="15"/>
        <v>1.01390843452449</v>
      </c>
    </row>
    <row r="96" spans="1:13">
      <c r="A96" s="31">
        <f t="shared" si="8"/>
        <v>68</v>
      </c>
      <c r="B96" s="31">
        <f>IF(A96=" "," ",($B$26-$B$3*($F$9))*((A96/($F$9))-($C$18/(PI()))*SIN((PI()*A96)/($F$9)))+$B$3*A96)</f>
        <v>6.74940968873316</v>
      </c>
      <c r="C96" s="31">
        <f t="shared" si="12"/>
        <v>1.01314727736359</v>
      </c>
      <c r="D96" s="31">
        <f t="shared" si="9"/>
        <v>68</v>
      </c>
      <c r="E96" s="31">
        <f>IF(D96=" "," ",($E$26-$B$3*($F$8))*((D96/($F$8))-($C$18/(PI()))*SIN((PI()*D96)/($F$8)))+$B$3*D96)</f>
        <v>6.74940968873316</v>
      </c>
      <c r="F96" s="31">
        <f t="shared" si="13"/>
        <v>1.01314727736359</v>
      </c>
      <c r="G96" s="31"/>
      <c r="H96" s="31">
        <f t="shared" si="10"/>
        <v>68</v>
      </c>
      <c r="I96" s="31">
        <f>IF(H96=" "," ",($I$26-$D$3*$F$13)*((H96/$F$13)-($C$18/(PI()))*SIN((PI()*H96)/$F$13))+$D$3*H96)</f>
        <v>7.54693491178038</v>
      </c>
      <c r="J96" s="31">
        <f t="shared" si="14"/>
        <v>1.01954597811196</v>
      </c>
      <c r="K96" s="31">
        <f t="shared" si="11"/>
        <v>68</v>
      </c>
      <c r="L96" s="31">
        <f>IF(K96=" "," ",($L$26-$D$3*$F$12)*((K96/$F$12)-($C$18/(PI()))*SIN((PI()*K96)/$F$12))+$D$3*K96)</f>
        <v>6.84094333342822</v>
      </c>
      <c r="M96" s="31">
        <f t="shared" si="15"/>
        <v>1.01314934686087</v>
      </c>
    </row>
    <row r="97" spans="1:13">
      <c r="A97" s="31">
        <f t="shared" si="8"/>
        <v>69</v>
      </c>
      <c r="B97" s="31">
        <f>IF(A97=" "," ",($B$26-$B$3*($F$9))*((A97/($F$9))-($C$18/(PI()))*SIN((PI()*A97)/($F$9)))+$B$3*A97)</f>
        <v>6.98306984158975</v>
      </c>
      <c r="C97" s="31">
        <f t="shared" si="12"/>
        <v>1.01239852084091</v>
      </c>
      <c r="D97" s="31">
        <f t="shared" si="9"/>
        <v>69</v>
      </c>
      <c r="E97" s="31">
        <f>IF(D97=" "," ",($E$26-$B$3*($F$8))*((D97/($F$8))-($C$18/(PI()))*SIN((PI()*D97)/($F$8)))+$B$3*D97)</f>
        <v>6.98306984158975</v>
      </c>
      <c r="F97" s="31">
        <f t="shared" si="13"/>
        <v>1.01239852084091</v>
      </c>
      <c r="G97" s="31"/>
      <c r="H97" s="31">
        <f t="shared" si="10"/>
        <v>69</v>
      </c>
      <c r="I97" s="31">
        <f>IF(H97=" "," ",($I$26-$D$3*$F$13)*((H97/$F$13)-($C$18/(PI()))*SIN((PI()*H97)/$F$13))+$D$3*H97)</f>
        <v>7.83377209366232</v>
      </c>
      <c r="J97" s="31">
        <f t="shared" si="14"/>
        <v>1.01892745133909</v>
      </c>
      <c r="K97" s="31">
        <f t="shared" si="11"/>
        <v>69</v>
      </c>
      <c r="L97" s="31">
        <f>IF(K97=" "," ",($L$26-$D$3*$F$12)*((K97/$F$12)-($C$18/(PI()))*SIN((PI()*K97)/$F$12))+$D$3*K97)</f>
        <v>7.07782154606329</v>
      </c>
      <c r="M97" s="31">
        <f t="shared" si="15"/>
        <v>1.01240044714763</v>
      </c>
    </row>
    <row r="98" spans="1:13">
      <c r="A98" s="31">
        <f t="shared" si="8"/>
        <v>70</v>
      </c>
      <c r="B98" s="31">
        <f>IF(A98=" "," ",($B$26-$B$3*($F$9))*((A98/($F$9))-($C$18/(PI()))*SIN((PI()*A98)/($F$9)))+$B$3*A98)</f>
        <v>7.21945430151117</v>
      </c>
      <c r="C98" s="31">
        <f t="shared" si="12"/>
        <v>1.01165927108889</v>
      </c>
      <c r="D98" s="31">
        <f t="shared" si="9"/>
        <v>70</v>
      </c>
      <c r="E98" s="31">
        <f>IF(D98=" "," ",($E$26-$B$3*($F$8))*((D98/($F$8))-($C$18/(PI()))*SIN((PI()*D98)/($F$8)))+$B$3*D98)</f>
        <v>7.21945430151117</v>
      </c>
      <c r="F98" s="31">
        <f t="shared" si="13"/>
        <v>1.01165927108889</v>
      </c>
      <c r="G98" s="31"/>
      <c r="H98" s="31">
        <f t="shared" si="10"/>
        <v>70</v>
      </c>
      <c r="I98" s="31">
        <f>IF(H98=" "," ",($I$26-$D$3*$F$13)*((H98/$F$13)-($C$18/(PI()))*SIN((PI()*H98)/$F$13))+$D$3*H98)</f>
        <v>8.1258642958234</v>
      </c>
      <c r="J98" s="31">
        <f t="shared" si="14"/>
        <v>1.01832056863987</v>
      </c>
      <c r="K98" s="31">
        <f t="shared" si="11"/>
        <v>70</v>
      </c>
      <c r="L98" s="31">
        <f>IF(K98=" "," ",($L$26-$D$3*$F$12)*((K98/$F$12)-($C$18/(PI()))*SIN((PI()*K98)/$F$12))+$D$3*K98)</f>
        <v>7.3174620098324</v>
      </c>
      <c r="M98" s="31">
        <f t="shared" si="15"/>
        <v>1.01166106035377</v>
      </c>
    </row>
    <row r="99" spans="1:13">
      <c r="A99" s="31">
        <f t="shared" si="8"/>
        <v>71</v>
      </c>
      <c r="B99" s="31">
        <f>IF(A99=" "," ",($B$26-$B$3*($F$9))*((A99/($F$9))-($C$18/(PI()))*SIN((PI()*A99)/($F$9)))+$B$3*A99)</f>
        <v>7.45842217936112</v>
      </c>
      <c r="C99" s="31">
        <f t="shared" si="12"/>
        <v>1.01092888225134</v>
      </c>
      <c r="D99" s="31">
        <f t="shared" si="9"/>
        <v>71</v>
      </c>
      <c r="E99" s="31">
        <f>IF(D99=" "," ",($E$26-$B$3*($F$8))*((D99/($F$8))-($C$18/(PI()))*SIN((PI()*D99)/($F$8)))+$B$3*D99)</f>
        <v>7.45842217936112</v>
      </c>
      <c r="F99" s="31">
        <f t="shared" si="13"/>
        <v>1.01092888225134</v>
      </c>
      <c r="G99" s="31"/>
      <c r="H99" s="31">
        <f t="shared" si="10"/>
        <v>71</v>
      </c>
      <c r="I99" s="31">
        <f>IF(H99=" "," ",($I$26-$D$3*$F$13)*((H99/$F$13)-($C$18/(PI()))*SIN((PI()*H99)/$F$13))+$D$3*H99)</f>
        <v>8.42313376210802</v>
      </c>
      <c r="J99" s="31">
        <f t="shared" si="14"/>
        <v>1.01772475980271</v>
      </c>
      <c r="K99" s="31">
        <f t="shared" si="11"/>
        <v>71</v>
      </c>
      <c r="L99" s="31">
        <f>IF(K99=" "," ",($L$26-$D$3*$F$12)*((K99/$F$12)-($C$18/(PI()))*SIN((PI()*K99)/$F$12))+$D$3*K99)</f>
        <v>7.55972187329946</v>
      </c>
      <c r="M99" s="31">
        <f t="shared" si="15"/>
        <v>1.01093054009644</v>
      </c>
    </row>
    <row r="100" spans="1:13">
      <c r="A100" s="31">
        <f t="shared" si="8"/>
        <v>72</v>
      </c>
      <c r="B100" s="31">
        <f>IF(A100=" "," ",($B$26-$B$3*($F$9))*((A100/($F$9))-($C$18/(PI()))*SIN((PI()*A100)/($F$9)))+$B$3*A100)</f>
        <v>7.69982913894032</v>
      </c>
      <c r="C100" s="31">
        <f t="shared" si="12"/>
        <v>1.01020673469256</v>
      </c>
      <c r="D100" s="31">
        <f t="shared" si="9"/>
        <v>72</v>
      </c>
      <c r="E100" s="31">
        <f>IF(D100=" "," ",($E$26-$B$3*($F$8))*((D100/($F$8))-($C$18/(PI()))*SIN((PI()*D100)/($F$8)))+$B$3*D100)</f>
        <v>7.69982913894032</v>
      </c>
      <c r="F100" s="31">
        <f t="shared" si="13"/>
        <v>1.01020673469256</v>
      </c>
      <c r="G100" s="31"/>
      <c r="H100" s="31">
        <f t="shared" si="10"/>
        <v>72</v>
      </c>
      <c r="I100" s="31">
        <f>IF(H100=" "," ",($I$26-$D$3*$F$13)*((H100/$F$13)-($C$18/(PI()))*SIN((PI()*H100)/$F$13))+$D$3*H100)</f>
        <v>8.7254982736234</v>
      </c>
      <c r="J100" s="31">
        <f t="shared" si="14"/>
        <v>1.01713948389801</v>
      </c>
      <c r="K100" s="31">
        <f t="shared" si="11"/>
        <v>72</v>
      </c>
      <c r="L100" s="31">
        <f>IF(K100=" "," ",($L$26-$D$3*$F$12)*((K100/$F$12)-($C$18/(PI()))*SIN((PI()*K100)/$F$12))+$D$3*K100)</f>
        <v>7.80445478995484</v>
      </c>
      <c r="M100" s="31">
        <f t="shared" si="15"/>
        <v>1.01020826625149</v>
      </c>
    </row>
    <row r="101" spans="1:13">
      <c r="A101" s="31">
        <f t="shared" si="8"/>
        <v>73</v>
      </c>
      <c r="B101" s="31">
        <f>IF(A101=" "," ",($B$26-$B$3*($F$9))*((A101/($F$9))-($C$18/(PI()))*SIN((PI()*A101)/($F$9)))+$B$3*A101)</f>
        <v>7.94352758957482</v>
      </c>
      <c r="C101" s="31">
        <f t="shared" si="12"/>
        <v>1.00949223278106</v>
      </c>
      <c r="D101" s="31">
        <f t="shared" si="9"/>
        <v>73</v>
      </c>
      <c r="E101" s="31">
        <f>IF(D101=" "," ",($E$26-$B$3*($F$8))*((D101/($F$8))-($C$18/(PI()))*SIN((PI()*D101)/($F$8)))+$B$3*D101)</f>
        <v>7.94352758957482</v>
      </c>
      <c r="F101" s="31">
        <f t="shared" si="13"/>
        <v>1.00949223278106</v>
      </c>
      <c r="G101" s="31"/>
      <c r="H101" s="31">
        <f t="shared" si="10"/>
        <v>73</v>
      </c>
      <c r="I101" s="31">
        <f>IF(H101=" "," ",($I$26-$D$3*$F$13)*((H101/$F$13)-($C$18/(PI()))*SIN((PI()*H101)/$F$13))+$D$3*H101)</f>
        <v>9.03287121961123</v>
      </c>
      <c r="J101" s="31">
        <f t="shared" si="14"/>
        <v>1.01656422722145</v>
      </c>
      <c r="K101" s="31">
        <f t="shared" si="11"/>
        <v>73</v>
      </c>
      <c r="L101" s="31">
        <f>IF(K101=" "," ",($L$26-$D$3*$F$12)*((K101/$F$12)-($C$18/(PI()))*SIN((PI()*K101)/$F$12))+$D$3*K101)</f>
        <v>8.05151111348599</v>
      </c>
      <c r="M101" s="31">
        <f t="shared" si="15"/>
        <v>1.00949364273313</v>
      </c>
    </row>
    <row r="102" spans="1:13">
      <c r="A102" s="31">
        <f t="shared" si="8"/>
        <v>74</v>
      </c>
      <c r="B102" s="31">
        <f>IF(A102=" "," ",($B$26-$B$3*($F$9))*((A102/($F$9))-($C$18/(PI()))*SIN((PI()*A102)/($F$9)))+$B$3*A102)</f>
        <v>8.18936688304667</v>
      </c>
      <c r="C102" s="31">
        <f t="shared" si="12"/>
        <v>1.00878480282403</v>
      </c>
      <c r="D102" s="31">
        <f t="shared" si="9"/>
        <v>74</v>
      </c>
      <c r="E102" s="31">
        <f>IF(D102=" "," ",($E$26-$B$3*($F$8))*((D102/($F$8))-($C$18/(PI()))*SIN((PI()*D102)/($F$8)))+$B$3*D102)</f>
        <v>8.18936688304667</v>
      </c>
      <c r="F102" s="31">
        <f t="shared" si="13"/>
        <v>1.00878480282403</v>
      </c>
      <c r="G102" s="31"/>
      <c r="H102" s="31">
        <f t="shared" si="10"/>
        <v>74</v>
      </c>
      <c r="I102" s="31">
        <f>IF(H102=" "," ",($I$26-$D$3*$F$13)*((H102/$F$13)-($C$18/(PI()))*SIN((PI()*H102)/$F$13))+$D$3*H102)</f>
        <v>9.34516167210503</v>
      </c>
      <c r="J102" s="31">
        <f t="shared" si="14"/>
        <v>1.01599850139762</v>
      </c>
      <c r="K102" s="31">
        <f t="shared" si="11"/>
        <v>74</v>
      </c>
      <c r="L102" s="31">
        <f>IF(K102=" "," ",($L$26-$D$3*$F$12)*((K102/$F$12)-($C$18/(PI()))*SIN((PI()*K102)/$F$12))+$D$3*K102)</f>
        <v>8.30073809745097</v>
      </c>
      <c r="M102" s="31">
        <f t="shared" si="15"/>
        <v>1.00878609542476</v>
      </c>
    </row>
    <row r="103" spans="1:13">
      <c r="A103" s="31">
        <f t="shared" si="8"/>
        <v>75</v>
      </c>
      <c r="B103" s="31">
        <f>IF(A103=" "," ",($B$26-$B$3*($F$9))*((A103/($F$9))-($C$18/(PI()))*SIN((PI()*A103)/($F$9)))+$B$3*A103)</f>
        <v>8.43719351460433</v>
      </c>
      <c r="C103" s="31">
        <f t="shared" si="12"/>
        <v>1.00808389113778</v>
      </c>
      <c r="D103" s="31">
        <f t="shared" si="9"/>
        <v>75</v>
      </c>
      <c r="E103" s="31">
        <f>IF(D103=" "," ",($E$26-$B$3*($F$8))*((D103/($F$8))-($C$18/(PI()))*SIN((PI()*D103)/($F$8)))+$B$3*D103)</f>
        <v>8.43719351460433</v>
      </c>
      <c r="F103" s="31">
        <f t="shared" si="13"/>
        <v>1.00808389113778</v>
      </c>
      <c r="G103" s="31"/>
      <c r="H103" s="31">
        <f t="shared" si="10"/>
        <v>75</v>
      </c>
      <c r="I103" s="31">
        <f>IF(H103=" "," ",($I$26-$D$3*$F$13)*((H103/$F$13)-($C$18/(PI()))*SIN((PI()*H103)/$F$13))+$D$3*H103)</f>
        <v>9.66227446430898</v>
      </c>
      <c r="J103" s="31">
        <f t="shared" si="14"/>
        <v>1.01544184163058</v>
      </c>
      <c r="K103" s="31">
        <f t="shared" si="11"/>
        <v>75</v>
      </c>
      <c r="L103" s="31">
        <f>IF(K103=" "," ",($L$26-$D$3*$F$12)*((K103/$F$12)-($C$18/(PI()))*SIN((PI()*K103)/$F$12))+$D$3*K103)</f>
        <v>8.55198009908856</v>
      </c>
      <c r="M103" s="31">
        <f t="shared" si="15"/>
        <v>1.00808507024623</v>
      </c>
    </row>
    <row r="104" spans="1:13">
      <c r="A104" s="31">
        <f t="shared" si="8"/>
        <v>76</v>
      </c>
      <c r="B104" s="31">
        <f>IF(A104=" "," ",($B$26-$B$3*($F$9))*((A104/($F$9))-($C$18/(PI()))*SIN((PI()*A104)/($F$9)))+$B$3*A104)</f>
        <v>8.68685132778459</v>
      </c>
      <c r="C104" s="31">
        <f t="shared" si="12"/>
        <v>1.00738896223984</v>
      </c>
      <c r="D104" s="31">
        <f t="shared" si="9"/>
        <v>76</v>
      </c>
      <c r="E104" s="31">
        <f>IF(D104=" "," ",($E$26-$B$3*($F$8))*((D104/($F$8))-($C$18/(PI()))*SIN((PI()*D104)/($F$8)))+$B$3*D104)</f>
        <v>8.68685132778459</v>
      </c>
      <c r="F104" s="31">
        <f t="shared" si="13"/>
        <v>1.00738896223984</v>
      </c>
      <c r="G104" s="31"/>
      <c r="H104" s="31">
        <f t="shared" si="10"/>
        <v>76</v>
      </c>
      <c r="I104" s="31">
        <f>IF(H104=" "," ",($I$26-$D$3*$F$13)*((H104/$F$13)-($C$18/(PI()))*SIN((PI()*H104)/$F$13))+$D$3*H104)</f>
        <v>9.98411027263048</v>
      </c>
      <c r="J104" s="31">
        <f t="shared" si="14"/>
        <v>1.01489380508659</v>
      </c>
      <c r="K104" s="31">
        <f t="shared" si="11"/>
        <v>76</v>
      </c>
      <c r="L104" s="31">
        <f>IF(K104=" "," ",($L$26-$D$3*$F$12)*((K104/$F$12)-($C$18/(PI()))*SIN((PI()*K104)/$F$12))+$D$3*K104)</f>
        <v>8.8050787869929</v>
      </c>
      <c r="M104" s="31">
        <f t="shared" si="15"/>
        <v>1.00739003134285</v>
      </c>
    </row>
    <row r="105" spans="1:13">
      <c r="A105" s="31">
        <f t="shared" si="8"/>
        <v>77</v>
      </c>
      <c r="B105" s="31">
        <f>IF(A105=" "," ",($B$26-$B$3*($F$9))*((A105/($F$9))-($C$18/(PI()))*SIN((PI()*A105)/($F$9)))+$B$3*A105)</f>
        <v>8.93818172277265</v>
      </c>
      <c r="C105" s="31">
        <f t="shared" si="12"/>
        <v>1.00669949714964</v>
      </c>
      <c r="D105" s="31">
        <f t="shared" si="9"/>
        <v>77</v>
      </c>
      <c r="E105" s="31">
        <f>IF(D105=" "," ",($E$26-$B$3*($F$8))*((D105/($F$8))-($C$18/(PI()))*SIN((PI()*D105)/($F$8)))+$B$3*D105)</f>
        <v>8.93818172277265</v>
      </c>
      <c r="F105" s="31">
        <f t="shared" si="13"/>
        <v>1.00669949714964</v>
      </c>
      <c r="G105" s="31"/>
      <c r="H105" s="31">
        <f t="shared" si="10"/>
        <v>77</v>
      </c>
      <c r="I105" s="31">
        <f>IF(H105=" "," ",($I$26-$D$3*$F$13)*((H105/$F$13)-($C$18/(PI()))*SIN((PI()*H105)/$F$13))+$D$3*H105)</f>
        <v>10.3105657022959</v>
      </c>
      <c r="J105" s="31">
        <f t="shared" si="14"/>
        <v>1.01435396939816</v>
      </c>
      <c r="K105" s="31">
        <f t="shared" si="11"/>
        <v>77</v>
      </c>
      <c r="L105" s="31">
        <f>IF(K105=" "," ",($L$26-$D$3*$F$12)*((K105/$F$12)-($C$18/(PI()))*SIN((PI()*K105)/$F$12))+$D$3*K105)</f>
        <v>9.05987335237557</v>
      </c>
      <c r="M105" s="31">
        <f t="shared" si="15"/>
        <v>1.00670045938358</v>
      </c>
    </row>
    <row r="106" spans="1:13">
      <c r="A106" s="31">
        <f t="shared" si="8"/>
        <v>78</v>
      </c>
      <c r="B106" s="31">
        <f>IF(A106=" "," ",($B$26-$B$3*($F$9))*((A106/($F$9))-($C$18/(PI()))*SIN((PI()*A106)/($F$9)))+$B$3*A106)</f>
        <v>9.1910238680223</v>
      </c>
      <c r="C106" s="31">
        <f t="shared" si="12"/>
        <v>1.00601499178671</v>
      </c>
      <c r="D106" s="31">
        <f t="shared" si="9"/>
        <v>78</v>
      </c>
      <c r="E106" s="31">
        <f>IF(D106=" "," ",($E$26-$B$3*($F$8))*((D106/($F$8))-($C$18/(PI()))*SIN((PI()*D106)/($F$8)))+$B$3*D106)</f>
        <v>9.1910238680223</v>
      </c>
      <c r="F106" s="31">
        <f t="shared" si="13"/>
        <v>1.00601499178671</v>
      </c>
      <c r="G106" s="31"/>
      <c r="H106" s="31">
        <f t="shared" si="10"/>
        <v>78</v>
      </c>
      <c r="I106" s="31">
        <f>IF(H106=" "," ",($I$26-$D$3*$F$13)*((H106/$F$13)-($C$18/(PI()))*SIN((PI()*H106)/$F$13))+$D$3*H106)</f>
        <v>10.6415333764754</v>
      </c>
      <c r="J106" s="31">
        <f t="shared" si="14"/>
        <v>1.01382193127792</v>
      </c>
      <c r="K106" s="31">
        <f t="shared" si="11"/>
        <v>78</v>
      </c>
      <c r="L106" s="31">
        <f>IF(K106=" "," ",($L$26-$D$3*$F$12)*((K106/$F$12)-($C$18/(PI()))*SIN((PI()*K106)/$F$12))+$D$3*K106)</f>
        <v>9.31620072363333</v>
      </c>
      <c r="M106" s="31">
        <f t="shared" si="15"/>
        <v>1.00601584995651</v>
      </c>
    </row>
    <row r="107" spans="1:13">
      <c r="A107" s="31">
        <f t="shared" si="8"/>
        <v>79</v>
      </c>
      <c r="B107" s="31">
        <f>IF(A107=" "," ",($B$26-$B$3*($F$9))*((A107/($F$9))-($C$18/(PI()))*SIN((PI()*A107)/($F$9)))+$B$3*A107)</f>
        <v>9.44521491485409</v>
      </c>
      <c r="C107" s="31">
        <f t="shared" si="12"/>
        <v>1.00533495545529</v>
      </c>
      <c r="D107" s="31">
        <f t="shared" si="9"/>
        <v>79</v>
      </c>
      <c r="E107" s="31">
        <f>IF(D107=" "," ",($E$26-$B$3*($F$8))*((D107/($F$8))-($C$18/(PI()))*SIN((PI()*D107)/($F$8)))+$B$3*D107)</f>
        <v>9.44521491485409</v>
      </c>
      <c r="F107" s="31">
        <f t="shared" si="13"/>
        <v>1.00533495545529</v>
      </c>
      <c r="G107" s="31"/>
      <c r="H107" s="31">
        <f t="shared" si="10"/>
        <v>79</v>
      </c>
      <c r="I107" s="31">
        <f>IF(H107=" "," ",($I$26-$D$3*$F$13)*((H107/$F$13)-($C$18/(PI()))*SIN((PI()*H107)/$F$13))+$D$3*H107)</f>
        <v>10.9769020288407</v>
      </c>
      <c r="J107" s="31">
        <f t="shared" si="14"/>
        <v>1.01329730523299</v>
      </c>
      <c r="K107" s="31">
        <f t="shared" si="11"/>
        <v>79</v>
      </c>
      <c r="L107" s="31">
        <f>IF(K107=" "," ",($L$26-$D$3*$F$12)*((K107/$F$12)-($C$18/(PI()))*SIN((PI()*K107)/$F$12))+$D$3*K107)</f>
        <v>9.57389578393504</v>
      </c>
      <c r="M107" s="31">
        <f t="shared" si="15"/>
        <v>1.00533571205153</v>
      </c>
    </row>
    <row r="108" spans="1:13">
      <c r="A108" s="31">
        <f t="shared" si="8"/>
        <v>80</v>
      </c>
      <c r="B108" s="31">
        <f>IF(A108=" "," ",($B$26-$B$3*($F$9))*((A108/($F$9))-($C$18/(PI()))*SIN((PI()*A108)/($F$9)))+$B$3*A108)</f>
        <v>9.70059021474474</v>
      </c>
      <c r="C108" s="31">
        <f t="shared" si="12"/>
        <v>1.00465890940547</v>
      </c>
      <c r="D108" s="31">
        <f t="shared" si="9"/>
        <v>80</v>
      </c>
      <c r="E108" s="31">
        <f>IF(D108=" "," ",($E$26-$B$3*($F$8))*((D108/($F$8))-($C$18/(PI()))*SIN((PI()*D108)/($F$8)))+$B$3*D108)</f>
        <v>9.70059021474474</v>
      </c>
      <c r="F108" s="31">
        <f t="shared" si="13"/>
        <v>1.00465890940547</v>
      </c>
      <c r="G108" s="31"/>
      <c r="H108" s="31">
        <f t="shared" si="10"/>
        <v>80</v>
      </c>
      <c r="I108" s="31">
        <f>IF(H108=" "," ",($I$26-$D$3*$F$13)*((H108/$F$13)-($C$18/(PI()))*SIN((PI()*H108)/$F$13))+$D$3*H108)</f>
        <v>11.3165565994752</v>
      </c>
      <c r="J108" s="31">
        <f t="shared" si="14"/>
        <v>1.01277972237089</v>
      </c>
      <c r="K108" s="31">
        <f t="shared" si="11"/>
        <v>80</v>
      </c>
      <c r="L108" s="31">
        <f>IF(K108=" "," ",($L$26-$D$3*$F$12)*((K108/$F$12)-($C$18/(PI()))*SIN((PI()*K108)/$F$12))+$D$3*K108)</f>
        <v>9.83279159153762</v>
      </c>
      <c r="M108" s="31">
        <f t="shared" si="15"/>
        <v>1.00465956661903</v>
      </c>
    </row>
    <row r="109" spans="1:13">
      <c r="A109" s="31">
        <f t="shared" si="8"/>
        <v>81</v>
      </c>
      <c r="B109" s="31">
        <f>IF(A109=" "," ",($B$26-$B$3*($F$9))*((A109/($F$9))-($C$18/(PI()))*SIN((PI()*A109)/($F$9)))+$B$3*A109)</f>
        <v>9.95698353901829</v>
      </c>
      <c r="C109" s="31">
        <f t="shared" si="12"/>
        <v>1.00398638546223</v>
      </c>
      <c r="D109" s="31">
        <f t="shared" si="9"/>
        <v>81</v>
      </c>
      <c r="E109" s="31">
        <f>IF(D109=" "," ",($E$26-$B$3*($F$8))*((D109/($F$8))-($C$18/(PI()))*SIN((PI()*D109)/($F$8)))+$B$3*D109)</f>
        <v>9.95698353901829</v>
      </c>
      <c r="F109" s="31">
        <f t="shared" si="13"/>
        <v>1.00398638546223</v>
      </c>
      <c r="G109" s="31"/>
      <c r="H109" s="31">
        <f t="shared" si="10"/>
        <v>81</v>
      </c>
      <c r="I109" s="31">
        <f>IF(H109=" "," ",($I$26-$D$3*$F$13)*((H109/$F$13)-($C$18/(PI()))*SIN((PI()*H109)/$F$13))+$D$3*H109)</f>
        <v>11.6603783340539</v>
      </c>
      <c r="J109" s="31">
        <f t="shared" si="14"/>
        <v>1.01226882928873</v>
      </c>
      <c r="K109" s="31">
        <f t="shared" si="11"/>
        <v>81</v>
      </c>
      <c r="L109" s="31">
        <f>IF(K109=" "," ",($L$26-$D$3*$F$12)*((K109/$F$12)-($C$18/(PI()))*SIN((PI()*K109)/$F$12))+$D$3*K109)</f>
        <v>10.092719602537</v>
      </c>
      <c r="M109" s="31">
        <f t="shared" si="15"/>
        <v>1.00398694519745</v>
      </c>
    </row>
    <row r="110" spans="1:13">
      <c r="A110" s="31">
        <f t="shared" si="8"/>
        <v>82</v>
      </c>
      <c r="B110" s="31">
        <f>IF(A110=" "," ",($B$26-$B$3*($F$9))*((A110/($F$9))-($C$18/(PI()))*SIN((PI()*A110)/($F$9)))+$B$3*A110)</f>
        <v>10.2142273006455</v>
      </c>
      <c r="C110" s="31">
        <f t="shared" si="12"/>
        <v>1.00331692471352</v>
      </c>
      <c r="D110" s="31">
        <f t="shared" si="9"/>
        <v>82</v>
      </c>
      <c r="E110" s="31">
        <f>IF(D110=" "," ",($E$26-$B$3*($F$8))*((D110/($F$8))-($C$18/(PI()))*SIN((PI()*D110)/($F$8)))+$B$3*D110)</f>
        <v>10.2142273006455</v>
      </c>
      <c r="F110" s="31">
        <f t="shared" si="13"/>
        <v>1.00331692471352</v>
      </c>
      <c r="G110" s="31"/>
      <c r="H110" s="31">
        <f t="shared" si="10"/>
        <v>82</v>
      </c>
      <c r="I110" s="31">
        <f>IF(H110=" "," ",($I$26-$D$3*$F$13)*((H110/$F$13)-($C$18/(PI()))*SIN((PI()*H110)/$F$13))+$D$3*H110)</f>
        <v>12.0082448862086</v>
      </c>
      <c r="J110" s="31">
        <f t="shared" si="14"/>
        <v>1.01176428703936</v>
      </c>
      <c r="K110" s="31">
        <f t="shared" si="11"/>
        <v>82</v>
      </c>
      <c r="L110" s="31">
        <f>IF(K110=" "," ",($L$26-$D$3*$F$12)*((K110/$F$12)-($C$18/(PI()))*SIN((PI()*K110)/$F$12))+$D$3*K110)</f>
        <v>10.3535098957566</v>
      </c>
      <c r="M110" s="31">
        <f t="shared" si="15"/>
        <v>1.00331738859912</v>
      </c>
    </row>
    <row r="111" spans="1:13">
      <c r="A111" s="31">
        <f t="shared" si="8"/>
        <v>83</v>
      </c>
      <c r="B111" s="31">
        <f>IF(A111=" "," ",($B$26-$B$3*($F$9))*((A111/($F$9))-($C$18/(PI()))*SIN((PI()*A111)/($F$9)))+$B$3*A111)</f>
        <v>10.4721527778558</v>
      </c>
      <c r="C111" s="31">
        <f t="shared" si="12"/>
        <v>1.00265007624987</v>
      </c>
      <c r="D111" s="31">
        <f t="shared" si="9"/>
        <v>83</v>
      </c>
      <c r="E111" s="31">
        <f>IF(D111=" "," ",($E$26-$B$3*($F$8))*((D111/($F$8))-($C$18/(PI()))*SIN((PI()*D111)/($F$8)))+$B$3*D111)</f>
        <v>10.4721527778558</v>
      </c>
      <c r="F111" s="31">
        <f t="shared" si="13"/>
        <v>1.00265007624987</v>
      </c>
      <c r="G111" s="31"/>
      <c r="H111" s="31">
        <f t="shared" si="10"/>
        <v>83</v>
      </c>
      <c r="I111" s="31">
        <f>IF(H111=" "," ",($I$26-$D$3*$F$13)*((H111/$F$13)-($C$18/(PI()))*SIN((PI()*H111)/$F$13))+$D$3*H111)</f>
        <v>12.3600304229885</v>
      </c>
      <c r="J111" s="31">
        <f t="shared" si="14"/>
        <v>1.0112657701668</v>
      </c>
      <c r="K111" s="31">
        <f t="shared" si="11"/>
        <v>83</v>
      </c>
      <c r="L111" s="31">
        <f>IF(K111=" "," ",($L$26-$D$3*$F$12)*((K111/$F$12)-($C$18/(PI()))*SIN((PI()*K111)/$F$12))+$D$3*K111)</f>
        <v>10.614991399474</v>
      </c>
      <c r="M111" s="31">
        <f t="shared" si="15"/>
        <v>1.00265044564852</v>
      </c>
    </row>
    <row r="112" spans="1:13">
      <c r="A112" s="31">
        <f t="shared" si="8"/>
        <v>84</v>
      </c>
      <c r="B112" s="31">
        <f>IF(A112=" "," ",($B$26-$B$3*($F$9))*((A112/($F$9))-($C$18/(PI()))*SIN((PI()*A112)/($F$9)))+$B$3*A112)</f>
        <v>10.7305903392634</v>
      </c>
      <c r="C112" s="31">
        <f t="shared" si="12"/>
        <v>1.00198539594754</v>
      </c>
      <c r="D112" s="31">
        <f t="shared" si="9"/>
        <v>84</v>
      </c>
      <c r="E112" s="31">
        <f>IF(D112=" "," ",($E$26-$B$3*($F$8))*((D112/($F$8))-($C$18/(PI()))*SIN((PI()*D112)/($F$8)))+$B$3*D112)</f>
        <v>10.7305903392634</v>
      </c>
      <c r="F112" s="31">
        <f t="shared" si="13"/>
        <v>1.00198539594754</v>
      </c>
      <c r="G112" s="31"/>
      <c r="H112" s="31">
        <f t="shared" si="10"/>
        <v>84</v>
      </c>
      <c r="I112" s="31">
        <f>IF(H112=" "," ",($I$26-$D$3*$F$13)*((H112/$F$13)-($C$18/(PI()))*SIN((PI()*H112)/$F$13))+$D$3*H112)</f>
        <v>12.7156057333272</v>
      </c>
      <c r="J112" s="31">
        <f t="shared" si="14"/>
        <v>1.0107729658057</v>
      </c>
      <c r="K112" s="31">
        <f t="shared" si="11"/>
        <v>84</v>
      </c>
      <c r="L112" s="31">
        <f>IF(K112=" "," ",($L$26-$D$3*$F$12)*((K112/$F$12)-($C$18/(PI()))*SIN((PI()*K112)/$F$12))+$D$3*K112)</f>
        <v>10.8769921196825</v>
      </c>
      <c r="M112" s="31">
        <f t="shared" si="15"/>
        <v>1.0019856719637</v>
      </c>
    </row>
    <row r="113" spans="1:13">
      <c r="A113" s="31">
        <f t="shared" si="8"/>
        <v>85</v>
      </c>
      <c r="B113" s="31">
        <f>IF(A113=" "," ",($B$26-$B$3*($F$9))*((A113/($F$9))-($C$18/(PI()))*SIN((PI()*A113)/($F$9)))+$B$3*A113)</f>
        <v>10.9893696702067</v>
      </c>
      <c r="C113" s="31">
        <f t="shared" si="12"/>
        <v>1.00132244528958</v>
      </c>
      <c r="D113" s="31">
        <f t="shared" si="9"/>
        <v>85</v>
      </c>
      <c r="E113" s="31">
        <f>IF(D113=" "," ",($E$26-$B$3*($F$8))*((D113/($F$8))-($C$18/(PI()))*SIN((PI()*D113)/($F$8)))+$B$3*D113)</f>
        <v>10.9893696702067</v>
      </c>
      <c r="F113" s="31">
        <f t="shared" si="13"/>
        <v>1.00132244528958</v>
      </c>
      <c r="G113" s="31"/>
      <c r="H113" s="31">
        <f t="shared" si="10"/>
        <v>85</v>
      </c>
      <c r="I113" s="31">
        <f>IF(H113=" "," ",($I$26-$D$3*$F$13)*((H113/$F$13)-($C$18/(PI()))*SIN((PI()*H113)/$F$13))+$D$3*H113)</f>
        <v>13.0748383394203</v>
      </c>
      <c r="J113" s="31">
        <f t="shared" si="14"/>
        <v>1.01028557283962</v>
      </c>
      <c r="K113" s="31">
        <f t="shared" si="11"/>
        <v>85</v>
      </c>
      <c r="L113" s="31">
        <f>IF(K113=" "," ",($L$26-$D$3*$F$12)*((K113/$F$12)-($C$18/(PI()))*SIN((PI()*K113)/$F$12))+$D$3*K113)</f>
        <v>11.1393393695827</v>
      </c>
      <c r="M113" s="31">
        <f t="shared" si="15"/>
        <v>1.00132262877586</v>
      </c>
    </row>
    <row r="114" spans="1:13">
      <c r="A114" s="31">
        <f t="shared" si="8"/>
        <v>86</v>
      </c>
      <c r="B114" s="31">
        <f>IF(A114=" "," ",($B$26-$B$3*($F$9))*((A114/($F$9))-($C$18/(PI()))*SIN((PI()*A114)/($F$9)))+$B$3*A114)</f>
        <v>11.24832</v>
      </c>
      <c r="C114" s="31">
        <f t="shared" si="12"/>
        <v>1.00066079021614</v>
      </c>
      <c r="D114" s="31">
        <f t="shared" si="9"/>
        <v>86</v>
      </c>
      <c r="E114" s="31">
        <f>IF(D114=" "," ",($E$26-$B$3*($F$8))*((D114/($F$8))-($C$18/(PI()))*SIN((PI()*D114)/($F$8)))+$B$3*D114)</f>
        <v>11.24832</v>
      </c>
      <c r="F114" s="31">
        <f t="shared" si="13"/>
        <v>1.00066079021614</v>
      </c>
      <c r="G114" s="31"/>
      <c r="H114" s="31">
        <f t="shared" si="10"/>
        <v>86</v>
      </c>
      <c r="I114" s="31">
        <f>IF(H114=" "," ",($I$26-$D$3*$F$13)*((H114/$F$13)-($C$18/(PI()))*SIN((PI()*H114)/$F$13))+$D$3*H114)</f>
        <v>13.4375926109202</v>
      </c>
      <c r="J114" s="31">
        <f t="shared" si="14"/>
        <v>1.00980330111218</v>
      </c>
      <c r="K114" s="31">
        <f t="shared" si="11"/>
        <v>86</v>
      </c>
      <c r="L114" s="31">
        <f>IF(K114=" "," ",($L$26-$D$3*$F$12)*((K114/$F$12)-($C$18/(PI()))*SIN((PI()*K114)/$F$12))+$D$3*K114)</f>
        <v>11.40186</v>
      </c>
      <c r="M114" s="31">
        <f t="shared" si="15"/>
        <v>1.00066088177817</v>
      </c>
    </row>
    <row r="115" spans="1:13">
      <c r="A115" s="31" t="str">
        <f t="shared" si="8"/>
        <v> </v>
      </c>
      <c r="B115" s="31" t="str">
        <f>IF(A115=" "," ",($B$26-$B$3*($F$9))*((A115/($F$9))-($C$18/(PI()))*SIN((PI()*A115)/($F$9)))+$B$3*A115)</f>
        <v> </v>
      </c>
      <c r="C115" s="31" t="str">
        <f t="shared" si="12"/>
        <v> </v>
      </c>
      <c r="D115" s="31" t="str">
        <f t="shared" si="9"/>
        <v> </v>
      </c>
      <c r="E115" s="31" t="str">
        <f>IF(D115=" "," ",($E$26-$B$3*($F$8))*((D115/($F$8))-($C$18/(PI()))*SIN((PI()*D115)/($F$8)))+$B$3*D115)</f>
        <v> </v>
      </c>
      <c r="F115" s="31" t="str">
        <f t="shared" si="13"/>
        <v> </v>
      </c>
      <c r="G115" s="31"/>
      <c r="H115" s="31">
        <f t="shared" si="10"/>
        <v>87</v>
      </c>
      <c r="I115" s="31">
        <f>IF(H115=" "," ",($I$26-$D$3*$F$13)*((H115/$F$13)-($C$18/(PI()))*SIN((PI()*H115)/$F$13))+$D$3*H115)</f>
        <v>13.8037298818476</v>
      </c>
      <c r="J115" s="31">
        <f t="shared" si="14"/>
        <v>1.00932587068794</v>
      </c>
      <c r="K115" s="31" t="str">
        <f t="shared" si="11"/>
        <v> </v>
      </c>
      <c r="L115" s="31" t="str">
        <f>IF(K115=" "," ",($L$26-$D$3*$F$12)*((K115/$F$12)-($C$18/(PI()))*SIN((PI()*K115)/$F$12))+$D$3*K115)</f>
        <v> </v>
      </c>
      <c r="M115" s="31" t="str">
        <f t="shared" si="15"/>
        <v> </v>
      </c>
    </row>
    <row r="116" spans="1:13">
      <c r="A116" s="31" t="str">
        <f t="shared" si="8"/>
        <v> </v>
      </c>
      <c r="B116" s="31" t="str">
        <f>IF(A116=" "," ",($B$26-$B$3*($F$9))*((A116/($F$9))-($C$18/(PI()))*SIN((PI()*A116)/($F$9)))+$B$3*A116)</f>
        <v> </v>
      </c>
      <c r="C116" s="31" t="str">
        <f t="shared" si="12"/>
        <v> </v>
      </c>
      <c r="D116" s="31" t="str">
        <f t="shared" si="9"/>
        <v> </v>
      </c>
      <c r="E116" s="31" t="str">
        <f>IF(D116=" "," ",($E$26-$B$3*($F$8))*((D116/($F$8))-($C$18/(PI()))*SIN((PI()*D116)/($F$8)))+$B$3*D116)</f>
        <v> </v>
      </c>
      <c r="F116" s="31" t="str">
        <f t="shared" si="13"/>
        <v> </v>
      </c>
      <c r="G116" s="31"/>
      <c r="H116" s="31">
        <f t="shared" si="10"/>
        <v>88</v>
      </c>
      <c r="I116" s="31">
        <f>IF(H116=" "," ",($I$26-$D$3*$F$13)*((H116/$F$13)-($C$18/(PI()))*SIN((PI()*H116)/$F$13))+$D$3*H116)</f>
        <v>14.1731085701199</v>
      </c>
      <c r="J116" s="31">
        <f t="shared" si="14"/>
        <v>1.00885301115777</v>
      </c>
      <c r="K116" s="31" t="str">
        <f t="shared" si="11"/>
        <v> </v>
      </c>
      <c r="L116" s="31" t="str">
        <f>IF(K116=" "," ",($L$26-$D$3*$F$12)*((K116/$F$12)-($C$18/(PI()))*SIN((PI()*K116)/$F$12))+$D$3*K116)</f>
        <v> </v>
      </c>
      <c r="M116" s="31" t="str">
        <f t="shared" si="15"/>
        <v> </v>
      </c>
    </row>
    <row r="117" spans="1:13">
      <c r="A117" s="31" t="str">
        <f t="shared" si="8"/>
        <v> </v>
      </c>
      <c r="B117" s="31" t="str">
        <f>IF(A117=" "," ",($B$26-$B$3*($F$9))*((A117/($F$9))-($C$18/(PI()))*SIN((PI()*A117)/($F$9)))+$B$3*A117)</f>
        <v> </v>
      </c>
      <c r="C117" s="31" t="str">
        <f t="shared" si="12"/>
        <v> </v>
      </c>
      <c r="D117" s="31" t="str">
        <f t="shared" si="9"/>
        <v> </v>
      </c>
      <c r="E117" s="31" t="str">
        <f>IF(D117=" "," ",($E$26-$B$3*($F$8))*((D117/($F$8))-($C$18/(PI()))*SIN((PI()*D117)/($F$8)))+$B$3*D117)</f>
        <v> </v>
      </c>
      <c r="F117" s="31" t="str">
        <f t="shared" si="13"/>
        <v> </v>
      </c>
      <c r="G117" s="31"/>
      <c r="H117" s="31">
        <f t="shared" si="10"/>
        <v>89</v>
      </c>
      <c r="I117" s="31">
        <f>IF(H117=" "," ",($I$26-$D$3*$F$13)*((H117/$F$13)-($C$18/(PI()))*SIN((PI()*H117)/$F$13))+$D$3*H117)</f>
        <v>14.5455842995928</v>
      </c>
      <c r="J117" s="31">
        <f t="shared" si="14"/>
        <v>1.00838446098557</v>
      </c>
      <c r="K117" s="31" t="str">
        <f t="shared" si="11"/>
        <v> </v>
      </c>
      <c r="L117" s="31" t="str">
        <f>IF(K117=" "," ",($L$26-$D$3*$F$12)*((K117/$F$12)-($C$18/(PI()))*SIN((PI()*K117)/$F$12))+$D$3*K117)</f>
        <v> </v>
      </c>
      <c r="M117" s="31" t="str">
        <f t="shared" si="15"/>
        <v> </v>
      </c>
    </row>
    <row r="118" spans="1:13">
      <c r="A118" s="31" t="str">
        <f t="shared" si="8"/>
        <v> </v>
      </c>
      <c r="B118" s="31" t="str">
        <f>IF(A118=" "," ",($B$26-$B$3*($F$9))*((A118/($F$9))-($C$18/(PI()))*SIN((PI()*A118)/($F$9)))+$B$3*A118)</f>
        <v> </v>
      </c>
      <c r="C118" s="31" t="str">
        <f t="shared" si="12"/>
        <v> </v>
      </c>
      <c r="D118" s="31" t="str">
        <f t="shared" si="9"/>
        <v> </v>
      </c>
      <c r="E118" s="31" t="str">
        <f>IF(D118=" "," ",($E$26-$B$3*($F$8))*((D118/($F$8))-($C$18/(PI()))*SIN((PI()*D118)/($F$8)))+$B$3*D118)</f>
        <v> </v>
      </c>
      <c r="F118" s="31" t="str">
        <f t="shared" si="13"/>
        <v> </v>
      </c>
      <c r="G118" s="31"/>
      <c r="H118" s="31">
        <f t="shared" si="10"/>
        <v>90</v>
      </c>
      <c r="I118" s="31">
        <f>IF(H118=" "," ",($I$26-$D$3*$F$13)*((H118/$F$13)-($C$18/(PI()))*SIN((PI()*H118)/$F$13))+$D$3*H118)</f>
        <v>14.9210100245115</v>
      </c>
      <c r="J118" s="31">
        <f t="shared" si="14"/>
        <v>1.00791996689244</v>
      </c>
      <c r="K118" s="31" t="str">
        <f t="shared" si="11"/>
        <v> </v>
      </c>
      <c r="L118" s="31" t="str">
        <f>IF(K118=" "," ",($L$26-$D$3*$F$12)*((K118/$F$12)-($C$18/(PI()))*SIN((PI()*K118)/$F$12))+$D$3*K118)</f>
        <v> </v>
      </c>
      <c r="M118" s="31" t="str">
        <f t="shared" si="15"/>
        <v> </v>
      </c>
    </row>
    <row r="119" spans="1:13">
      <c r="A119" s="31" t="str">
        <f t="shared" si="8"/>
        <v> </v>
      </c>
      <c r="B119" s="31" t="str">
        <f>IF(A119=" "," ",($B$26-$B$3*($F$9))*((A119/($F$9))-($C$18/(PI()))*SIN((PI()*A119)/($F$9)))+$B$3*A119)</f>
        <v> </v>
      </c>
      <c r="C119" s="31" t="str">
        <f t="shared" si="12"/>
        <v> </v>
      </c>
      <c r="D119" s="31" t="str">
        <f t="shared" si="9"/>
        <v> </v>
      </c>
      <c r="E119" s="31" t="str">
        <f>IF(D119=" "," ",($E$26-$B$3*($F$8))*((D119/($F$8))-($C$18/(PI()))*SIN((PI()*D119)/($F$8)))+$B$3*D119)</f>
        <v> </v>
      </c>
      <c r="F119" s="31" t="str">
        <f t="shared" si="13"/>
        <v> </v>
      </c>
      <c r="G119" s="31"/>
      <c r="H119" s="31">
        <f t="shared" si="10"/>
        <v>91</v>
      </c>
      <c r="I119" s="31">
        <f>IF(H119=" "," ",($I$26-$D$3*$F$13)*((H119/$F$13)-($C$18/(PI()))*SIN((PI()*H119)/$F$13))+$D$3*H119)</f>
        <v>15.2992361562614</v>
      </c>
      <c r="J119" s="31">
        <f t="shared" si="14"/>
        <v>1.00745928327609</v>
      </c>
      <c r="K119" s="31" t="str">
        <f t="shared" si="11"/>
        <v> </v>
      </c>
      <c r="L119" s="31" t="str">
        <f>IF(K119=" "," ",($L$26-$D$3*$F$12)*((K119/$F$12)-($C$18/(PI()))*SIN((PI()*K119)/$F$12))+$D$3*K119)</f>
        <v> </v>
      </c>
      <c r="M119" s="31" t="str">
        <f t="shared" si="15"/>
        <v> </v>
      </c>
    </row>
    <row r="120" spans="1:13">
      <c r="A120" s="31" t="str">
        <f t="shared" si="8"/>
        <v> </v>
      </c>
      <c r="B120" s="31" t="str">
        <f>IF(A120=" "," ",($B$26-$B$3*($F$9))*((A120/($F$9))-($C$18/(PI()))*SIN((PI()*A120)/($F$9)))+$B$3*A120)</f>
        <v> </v>
      </c>
      <c r="C120" s="31" t="str">
        <f t="shared" si="12"/>
        <v> </v>
      </c>
      <c r="D120" s="31" t="str">
        <f t="shared" si="9"/>
        <v> </v>
      </c>
      <c r="E120" s="31" t="str">
        <f>IF(D120=" "," ",($E$26-$B$3*($F$8))*((D120/($F$8))-($C$18/(PI()))*SIN((PI()*D120)/($F$8)))+$B$3*D120)</f>
        <v> </v>
      </c>
      <c r="F120" s="31" t="str">
        <f t="shared" si="13"/>
        <v> </v>
      </c>
      <c r="G120" s="31"/>
      <c r="H120" s="31">
        <f t="shared" si="10"/>
        <v>92</v>
      </c>
      <c r="I120" s="31">
        <f>IF(H120=" "," ",($I$26-$D$3*$F$13)*((H120/$F$13)-($C$18/(PI()))*SIN((PI()*H120)/$F$13))+$D$3*H120)</f>
        <v>15.6801106923124</v>
      </c>
      <c r="J120" s="31">
        <f t="shared" si="14"/>
        <v>1.00700217166082</v>
      </c>
      <c r="K120" s="31" t="str">
        <f t="shared" si="11"/>
        <v> </v>
      </c>
      <c r="L120" s="31" t="str">
        <f>IF(K120=" "," ",($L$26-$D$3*$F$12)*((K120/$F$12)-($C$18/(PI()))*SIN((PI()*K120)/$F$12))+$D$3*K120)</f>
        <v> </v>
      </c>
      <c r="M120" s="31" t="str">
        <f t="shared" si="15"/>
        <v> </v>
      </c>
    </row>
    <row r="121" spans="1:13">
      <c r="A121" s="31" t="str">
        <f t="shared" si="8"/>
        <v> </v>
      </c>
      <c r="B121" s="31" t="str">
        <f>IF(A121=" "," ",($B$26-$B$3*($F$9))*((A121/($F$9))-($C$18/(PI()))*SIN((PI()*A121)/($F$9)))+$B$3*A121)</f>
        <v> </v>
      </c>
      <c r="C121" s="31" t="str">
        <f t="shared" si="12"/>
        <v> </v>
      </c>
      <c r="D121" s="31" t="str">
        <f t="shared" si="9"/>
        <v> </v>
      </c>
      <c r="E121" s="31" t="str">
        <f>IF(D121=" "," ",($E$26-$B$3*($F$8))*((D121/($F$8))-($C$18/(PI()))*SIN((PI()*D121)/($F$8)))+$B$3*D121)</f>
        <v> </v>
      </c>
      <c r="F121" s="31" t="str">
        <f t="shared" si="13"/>
        <v> </v>
      </c>
      <c r="G121" s="31"/>
      <c r="H121" s="31">
        <f t="shared" si="10"/>
        <v>93</v>
      </c>
      <c r="I121" s="31">
        <f>IF(H121=" "," ",($I$26-$D$3*$F$13)*((H121/$F$13)-($C$18/(PI()))*SIN((PI()*H121)/$F$13))+$D$3*H121)</f>
        <v>16.0634793472429</v>
      </c>
      <c r="J121" s="31">
        <f t="shared" si="14"/>
        <v>1.00654840017732</v>
      </c>
      <c r="K121" s="31" t="str">
        <f t="shared" si="11"/>
        <v> </v>
      </c>
      <c r="L121" s="31" t="str">
        <f>IF(K121=" "," ",($L$26-$D$3*$F$12)*((K121/$F$12)-($C$18/(PI()))*SIN((PI()*K121)/$F$12))+$D$3*K121)</f>
        <v> </v>
      </c>
      <c r="M121" s="31" t="str">
        <f t="shared" si="15"/>
        <v> </v>
      </c>
    </row>
    <row r="122" spans="1:13">
      <c r="A122" s="31" t="str">
        <f t="shared" si="8"/>
        <v> </v>
      </c>
      <c r="B122" s="31" t="str">
        <f>IF(A122=" "," ",($B$26-$B$3*($F$9))*((A122/($F$9))-($C$18/(PI()))*SIN((PI()*A122)/($F$9)))+$B$3*A122)</f>
        <v> </v>
      </c>
      <c r="C122" s="31" t="str">
        <f t="shared" si="12"/>
        <v> </v>
      </c>
      <c r="D122" s="31" t="str">
        <f t="shared" si="9"/>
        <v> </v>
      </c>
      <c r="E122" s="31" t="str">
        <f>IF(D122=" "," ",($E$26-$B$3*($F$8))*((D122/($F$8))-($C$18/(PI()))*SIN((PI()*D122)/($F$8)))+$B$3*D122)</f>
        <v> </v>
      </c>
      <c r="F122" s="31" t="str">
        <f t="shared" si="13"/>
        <v> </v>
      </c>
      <c r="G122" s="31"/>
      <c r="H122" s="31">
        <f t="shared" si="10"/>
        <v>94</v>
      </c>
      <c r="I122" s="31">
        <f>IF(H122=" "," ",($I$26-$D$3*$F$13)*((H122/$F$13)-($C$18/(PI()))*SIN((PI()*H122)/$F$13))+$D$3*H122)</f>
        <v>16.4491856857316</v>
      </c>
      <c r="J122" s="31">
        <f t="shared" si="14"/>
        <v>1.00609774306852</v>
      </c>
      <c r="K122" s="31" t="str">
        <f t="shared" si="11"/>
        <v> </v>
      </c>
      <c r="L122" s="31" t="str">
        <f>IF(K122=" "," ",($L$26-$D$3*$F$12)*((K122/$F$12)-($C$18/(PI()))*SIN((PI()*K122)/$F$12))+$D$3*K122)</f>
        <v> </v>
      </c>
      <c r="M122" s="31" t="str">
        <f t="shared" si="15"/>
        <v> </v>
      </c>
    </row>
    <row r="123" spans="1:13">
      <c r="A123" s="31" t="str">
        <f t="shared" si="8"/>
        <v> </v>
      </c>
      <c r="B123" s="31" t="str">
        <f>IF(A123=" "," ",($B$26-$B$3*($F$9))*((A123/($F$9))-($C$18/(PI()))*SIN((PI()*A123)/($F$9)))+$B$3*A123)</f>
        <v> </v>
      </c>
      <c r="C123" s="31" t="str">
        <f t="shared" si="12"/>
        <v> </v>
      </c>
      <c r="D123" s="31" t="str">
        <f t="shared" si="9"/>
        <v> </v>
      </c>
      <c r="E123" s="31" t="str">
        <f>IF(D123=" "," ",($E$26-$B$3*($F$8))*((D123/($F$8))-($C$18/(PI()))*SIN((PI()*D123)/($F$8)))+$B$3*D123)</f>
        <v> </v>
      </c>
      <c r="F123" s="31" t="str">
        <f t="shared" si="13"/>
        <v> </v>
      </c>
      <c r="G123" s="31"/>
      <c r="H123" s="31">
        <f t="shared" si="10"/>
        <v>95</v>
      </c>
      <c r="I123" s="31">
        <f>IF(H123=" "," ",($I$26-$D$3*$F$13)*((H123/$F$13)-($C$18/(PI()))*SIN((PI()*H123)/$F$13))+$D$3*H123)</f>
        <v>16.8370712574034</v>
      </c>
      <c r="J123" s="31">
        <f t="shared" si="14"/>
        <v>1.00564998021965</v>
      </c>
      <c r="K123" s="31" t="str">
        <f t="shared" si="11"/>
        <v> </v>
      </c>
      <c r="L123" s="31" t="str">
        <f>IF(K123=" "," ",($L$26-$D$3*$F$12)*((K123/$F$12)-($C$18/(PI()))*SIN((PI()*K123)/$F$12))+$D$3*K123)</f>
        <v> </v>
      </c>
      <c r="M123" s="31" t="str">
        <f t="shared" si="15"/>
        <v> </v>
      </c>
    </row>
    <row r="124" spans="1:13">
      <c r="A124" s="31" t="str">
        <f t="shared" si="8"/>
        <v> </v>
      </c>
      <c r="B124" s="31" t="str">
        <f>IF(A124=" "," ",($B$26-$B$3*($F$9))*((A124/($F$9))-($C$18/(PI()))*SIN((PI()*A124)/($F$9)))+$B$3*A124)</f>
        <v> </v>
      </c>
      <c r="C124" s="31" t="str">
        <f t="shared" si="12"/>
        <v> </v>
      </c>
      <c r="D124" s="31" t="str">
        <f t="shared" si="9"/>
        <v> </v>
      </c>
      <c r="E124" s="31" t="str">
        <f>IF(D124=" "," ",($E$26-$B$3*($F$8))*((D124/($F$8))-($C$18/(PI()))*SIN((PI()*D124)/($F$8)))+$B$3*D124)</f>
        <v> </v>
      </c>
      <c r="F124" s="31" t="str">
        <f t="shared" si="13"/>
        <v> </v>
      </c>
      <c r="G124" s="31"/>
      <c r="H124" s="31">
        <f t="shared" si="10"/>
        <v>96</v>
      </c>
      <c r="I124" s="31">
        <f>IF(H124=" "," ",($I$26-$D$3*$F$13)*((H124/$F$13)-($C$18/(PI()))*SIN((PI()*H124)/$F$13))+$D$3*H124)</f>
        <v>17.2269757334112</v>
      </c>
      <c r="J124" s="31">
        <f t="shared" si="14"/>
        <v>1.00520489671029</v>
      </c>
      <c r="K124" s="31" t="str">
        <f t="shared" si="11"/>
        <v> </v>
      </c>
      <c r="L124" s="31" t="str">
        <f>IF(K124=" "," ",($L$26-$D$3*$F$12)*((K124/$F$12)-($C$18/(PI()))*SIN((PI()*K124)/$F$12))+$D$3*K124)</f>
        <v> </v>
      </c>
      <c r="M124" s="31" t="str">
        <f t="shared" si="15"/>
        <v> </v>
      </c>
    </row>
    <row r="125" spans="1:13">
      <c r="A125" s="31" t="str">
        <f t="shared" si="8"/>
        <v> </v>
      </c>
      <c r="B125" s="31" t="str">
        <f>IF(A125=" "," ",($B$26-$B$3*($F$9))*((A125/($F$9))-($C$18/(PI()))*SIN((PI()*A125)/($F$9)))+$B$3*A125)</f>
        <v> </v>
      </c>
      <c r="C125" s="31" t="str">
        <f t="shared" si="12"/>
        <v> </v>
      </c>
      <c r="D125" s="31" t="str">
        <f t="shared" si="9"/>
        <v> </v>
      </c>
      <c r="E125" s="31" t="str">
        <f>IF(D125=" "," ",($E$26-$B$3*($F$8))*((D125/($F$8))-($C$18/(PI()))*SIN((PI()*D125)/($F$8)))+$B$3*D125)</f>
        <v> </v>
      </c>
      <c r="F125" s="31" t="str">
        <f t="shared" si="13"/>
        <v> </v>
      </c>
      <c r="G125" s="31"/>
      <c r="H125" s="31">
        <f t="shared" si="10"/>
        <v>97</v>
      </c>
      <c r="I125" s="31">
        <f>IF(H125=" "," ",($I$26-$D$3*$F$13)*((H125/$F$13)-($C$18/(PI()))*SIN((PI()*H125)/$F$13))+$D$3*H125)</f>
        <v>17.6187370446374</v>
      </c>
      <c r="J125" s="31">
        <f t="shared" si="14"/>
        <v>1.00476228238638</v>
      </c>
      <c r="K125" s="31" t="str">
        <f t="shared" si="11"/>
        <v> </v>
      </c>
      <c r="L125" s="31" t="str">
        <f>IF(K125=" "," ",($L$26-$D$3*$F$12)*((K125/$F$12)-($C$18/(PI()))*SIN((PI()*K125)/$F$12))+$D$3*K125)</f>
        <v> </v>
      </c>
      <c r="M125" s="31" t="str">
        <f t="shared" si="15"/>
        <v> </v>
      </c>
    </row>
    <row r="126" spans="1:13">
      <c r="A126" s="31" t="str">
        <f t="shared" si="8"/>
        <v> </v>
      </c>
      <c r="B126" s="31" t="str">
        <f>IF(A126=" "," ",($B$26-$B$3*($F$9))*((A126/($F$9))-($C$18/(PI()))*SIN((PI()*A126)/($F$9)))+$B$3*A126)</f>
        <v> </v>
      </c>
      <c r="C126" s="31" t="str">
        <f t="shared" si="12"/>
        <v> </v>
      </c>
      <c r="D126" s="31" t="str">
        <f t="shared" si="9"/>
        <v> </v>
      </c>
      <c r="E126" s="31" t="str">
        <f>IF(D126=" "," ",($E$26-$B$3*($F$8))*((D126/($F$8))-($C$18/(PI()))*SIN((PI()*D126)/($F$8)))+$B$3*D126)</f>
        <v> </v>
      </c>
      <c r="F126" s="31" t="str">
        <f t="shared" si="13"/>
        <v> </v>
      </c>
      <c r="G126" s="31"/>
      <c r="H126" s="31">
        <f t="shared" si="10"/>
        <v>98</v>
      </c>
      <c r="I126" s="31">
        <f>IF(H126=" "," ",($I$26-$D$3*$F$13)*((H126/$F$13)-($C$18/(PI()))*SIN((PI()*H126)/$F$13))+$D$3*H126)</f>
        <v>18.0121915213958</v>
      </c>
      <c r="J126" s="31">
        <f t="shared" si="14"/>
        <v>1.00432193145067</v>
      </c>
      <c r="K126" s="31" t="str">
        <f t="shared" si="11"/>
        <v> </v>
      </c>
      <c r="L126" s="31" t="str">
        <f>IF(K126=" "," ",($L$26-$D$3*$F$12)*((K126/$F$12)-($C$18/(PI()))*SIN((PI()*K126)/$F$12))+$D$3*K126)</f>
        <v> </v>
      </c>
      <c r="M126" s="31" t="str">
        <f t="shared" si="15"/>
        <v> </v>
      </c>
    </row>
    <row r="127" spans="1:13">
      <c r="A127" s="31" t="str">
        <f t="shared" si="8"/>
        <v> </v>
      </c>
      <c r="B127" s="31" t="str">
        <f>IF(A127=" "," ",($B$26-$B$3*($F$9))*((A127/($F$9))-($C$18/(PI()))*SIN((PI()*A127)/($F$9)))+$B$3*A127)</f>
        <v> </v>
      </c>
      <c r="C127" s="31" t="str">
        <f t="shared" si="12"/>
        <v> </v>
      </c>
      <c r="D127" s="31" t="str">
        <f t="shared" si="9"/>
        <v> </v>
      </c>
      <c r="E127" s="31" t="str">
        <f>IF(D127=" "," ",($E$26-$B$3*($F$8))*((D127/($F$8))-($C$18/(PI()))*SIN((PI()*D127)/($F$8)))+$B$3*D127)</f>
        <v> </v>
      </c>
      <c r="F127" s="31" t="str">
        <f t="shared" si="13"/>
        <v> </v>
      </c>
      <c r="G127" s="31"/>
      <c r="H127" s="31">
        <f t="shared" si="10"/>
        <v>99</v>
      </c>
      <c r="I127" s="31">
        <f>IF(H127=" "," ",($I$26-$D$3*$F$13)*((H127/$F$13)-($C$18/(PI()))*SIN((PI()*H127)/$F$13))+$D$3*H127)</f>
        <v>18.4071740345124</v>
      </c>
      <c r="J127" s="31">
        <f t="shared" si="14"/>
        <v>1.0038836420691</v>
      </c>
      <c r="K127" s="31" t="str">
        <f t="shared" si="11"/>
        <v> </v>
      </c>
      <c r="L127" s="31" t="str">
        <f>IF(K127=" "," ",($L$26-$D$3*$F$12)*((K127/$F$12)-($C$18/(PI()))*SIN((PI()*K127)/$F$12))+$D$3*K127)</f>
        <v> </v>
      </c>
      <c r="M127" s="31" t="str">
        <f t="shared" si="15"/>
        <v> </v>
      </c>
    </row>
    <row r="128" spans="1:13">
      <c r="A128" s="31" t="str">
        <f t="shared" si="8"/>
        <v> </v>
      </c>
      <c r="B128" s="31" t="str">
        <f>IF(A128=" "," ",($B$26-$B$3*($F$9))*((A128/($F$9))-($C$18/(PI()))*SIN((PI()*A128)/($F$9)))+$B$3*A128)</f>
        <v> </v>
      </c>
      <c r="C128" s="31" t="str">
        <f t="shared" si="12"/>
        <v> </v>
      </c>
      <c r="D128" s="31" t="str">
        <f t="shared" si="9"/>
        <v> </v>
      </c>
      <c r="E128" s="31" t="str">
        <f>IF(D128=" "," ",($E$26-$B$3*($F$8))*((D128/($F$8))-($C$18/(PI()))*SIN((PI()*D128)/($F$8)))+$B$3*D128)</f>
        <v> </v>
      </c>
      <c r="F128" s="31" t="str">
        <f t="shared" si="13"/>
        <v> </v>
      </c>
      <c r="G128" s="31"/>
      <c r="H128" s="31">
        <f t="shared" si="10"/>
        <v>100</v>
      </c>
      <c r="I128" s="31">
        <f>IF(H128=" "," ",($I$26-$D$3*$F$13)*((H128/$F$13)-($C$18/(PI()))*SIN((PI()*H128)/$F$13))+$D$3*H128)</f>
        <v>18.8035181376649</v>
      </c>
      <c r="J128" s="31">
        <f t="shared" si="14"/>
        <v>1.0034472159925</v>
      </c>
      <c r="K128" s="31" t="str">
        <f t="shared" si="11"/>
        <v> </v>
      </c>
      <c r="L128" s="31" t="str">
        <f>IF(K128=" "," ",($L$26-$D$3*$F$12)*((K128/$F$12)-($C$18/(PI()))*SIN((PI()*K128)/$F$12))+$D$3*K128)</f>
        <v> </v>
      </c>
      <c r="M128" s="31" t="str">
        <f t="shared" si="15"/>
        <v> </v>
      </c>
    </row>
    <row r="129" spans="1:13">
      <c r="A129" s="31" t="str">
        <f t="shared" si="8"/>
        <v> </v>
      </c>
      <c r="B129" s="31" t="str">
        <f>IF(A129=" "," ",($B$26-$B$3*($F$9))*((A129/($F$9))-($C$18/(PI()))*SIN((PI()*A129)/($F$9)))+$B$3*A129)</f>
        <v> </v>
      </c>
      <c r="C129" s="31" t="str">
        <f t="shared" si="12"/>
        <v> </v>
      </c>
      <c r="D129" s="31" t="str">
        <f t="shared" si="9"/>
        <v> </v>
      </c>
      <c r="E129" s="31" t="str">
        <f>IF(D129=" "," ",($E$26-$B$3*($F$8))*((D129/($F$8))-($C$18/(PI()))*SIN((PI()*D129)/($F$8)))+$B$3*D129)</f>
        <v> </v>
      </c>
      <c r="F129" s="31" t="str">
        <f t="shared" si="13"/>
        <v> </v>
      </c>
      <c r="G129" s="31"/>
      <c r="H129" s="31">
        <f t="shared" si="10"/>
        <v>101</v>
      </c>
      <c r="I129" s="31">
        <f>IF(H129=" "," ",($I$26-$D$3*$F$13)*((H129/$F$13)-($C$18/(PI()))*SIN((PI()*H129)/$F$13))+$D$3*H129)</f>
        <v>19.2010562108576</v>
      </c>
      <c r="J129" s="31">
        <f t="shared" si="14"/>
        <v>1.00301245819123</v>
      </c>
      <c r="K129" s="31" t="str">
        <f t="shared" si="11"/>
        <v> </v>
      </c>
      <c r="L129" s="31" t="str">
        <f>IF(K129=" "," ",($L$26-$D$3*$F$12)*((K129/$F$12)-($C$18/(PI()))*SIN((PI()*K129)/$F$12))+$D$3*K129)</f>
        <v> </v>
      </c>
      <c r="M129" s="31" t="str">
        <f t="shared" si="15"/>
        <v> </v>
      </c>
    </row>
    <row r="130" spans="1:13">
      <c r="A130" s="31" t="str">
        <f t="shared" si="8"/>
        <v> </v>
      </c>
      <c r="B130" s="31" t="str">
        <f>IF(A130=" "," ",($B$26-$B$3*($F$9))*((A130/($F$9))-($C$18/(PI()))*SIN((PI()*A130)/($F$9)))+$B$3*A130)</f>
        <v> </v>
      </c>
      <c r="C130" s="31" t="str">
        <f t="shared" si="12"/>
        <v> </v>
      </c>
      <c r="D130" s="31" t="str">
        <f t="shared" si="9"/>
        <v> </v>
      </c>
      <c r="E130" s="31" t="str">
        <f>IF(D130=" "," ",($E$26-$B$3*($F$8))*((D130/($F$8))-($C$18/(PI()))*SIN((PI()*D130)/($F$8)))+$B$3*D130)</f>
        <v> </v>
      </c>
      <c r="F130" s="31" t="str">
        <f t="shared" si="13"/>
        <v> </v>
      </c>
      <c r="G130" s="31"/>
      <c r="H130" s="31">
        <f t="shared" si="10"/>
        <v>102</v>
      </c>
      <c r="I130" s="31">
        <f>IF(H130=" "," ",($I$26-$D$3*$F$13)*((H130/$F$13)-($C$18/(PI()))*SIN((PI()*H130)/$F$13))+$D$3*H130)</f>
        <v>19.5996196049071</v>
      </c>
      <c r="J130" s="31">
        <f t="shared" si="14"/>
        <v>1.00257917650165</v>
      </c>
      <c r="K130" s="31" t="str">
        <f t="shared" si="11"/>
        <v> </v>
      </c>
      <c r="L130" s="31" t="str">
        <f>IF(K130=" "," ",($L$26-$D$3*$F$12)*((K130/$F$12)-($C$18/(PI()))*SIN((PI()*K130)/$F$12))+$D$3*K130)</f>
        <v> </v>
      </c>
      <c r="M130" s="31" t="str">
        <f t="shared" si="15"/>
        <v> </v>
      </c>
    </row>
    <row r="131" spans="1:13">
      <c r="A131" s="31" t="str">
        <f t="shared" si="8"/>
        <v> </v>
      </c>
      <c r="B131" s="31" t="str">
        <f>IF(A131=" "," ",($B$26-$B$3*($F$9))*((A131/($F$9))-($C$18/(PI()))*SIN((PI()*A131)/($F$9)))+$B$3*A131)</f>
        <v> </v>
      </c>
      <c r="C131" s="31" t="str">
        <f t="shared" si="12"/>
        <v> </v>
      </c>
      <c r="D131" s="31" t="str">
        <f t="shared" si="9"/>
        <v> </v>
      </c>
      <c r="E131" s="31" t="str">
        <f>IF(D131=" "," ",($E$26-$B$3*($F$8))*((D131/($F$8))-($C$18/(PI()))*SIN((PI()*D131)/($F$8)))+$B$3*D131)</f>
        <v> </v>
      </c>
      <c r="F131" s="31" t="str">
        <f t="shared" si="13"/>
        <v> </v>
      </c>
      <c r="G131" s="31"/>
      <c r="H131" s="31">
        <f t="shared" si="10"/>
        <v>103</v>
      </c>
      <c r="I131" s="31">
        <f>IF(H131=" "," ",($I$26-$D$3*$F$13)*((H131/$F$13)-($C$18/(PI()))*SIN((PI()*H131)/$F$13))+$D$3*H131)</f>
        <v>19.9990387868165</v>
      </c>
      <c r="J131" s="31">
        <f t="shared" si="14"/>
        <v>1.00214718128324</v>
      </c>
      <c r="K131" s="31" t="str">
        <f t="shared" si="11"/>
        <v> </v>
      </c>
      <c r="L131" s="31" t="str">
        <f>IF(K131=" "," ",($L$26-$D$3*$F$12)*((K131/$F$12)-($C$18/(PI()))*SIN((PI()*K131)/$F$12))+$D$3*K131)</f>
        <v> </v>
      </c>
      <c r="M131" s="31" t="str">
        <f t="shared" si="15"/>
        <v> </v>
      </c>
    </row>
    <row r="132" spans="1:13">
      <c r="A132" s="31" t="str">
        <f t="shared" si="8"/>
        <v> </v>
      </c>
      <c r="B132" s="31" t="str">
        <f>IF(A132=" "," ",($B$26-$B$3*($F$9))*((A132/($F$9))-($C$18/(PI()))*SIN((PI()*A132)/($F$9)))+$B$3*A132)</f>
        <v> </v>
      </c>
      <c r="C132" s="31" t="str">
        <f t="shared" si="12"/>
        <v> </v>
      </c>
      <c r="D132" s="31" t="str">
        <f t="shared" si="9"/>
        <v> </v>
      </c>
      <c r="E132" s="31" t="str">
        <f>IF(D132=" "," ",($E$26-$B$3*($F$8))*((D132/($F$8))-($C$18/(PI()))*SIN((PI()*D132)/($F$8)))+$B$3*D132)</f>
        <v> </v>
      </c>
      <c r="F132" s="31" t="str">
        <f t="shared" si="13"/>
        <v> </v>
      </c>
      <c r="G132" s="31"/>
      <c r="H132" s="31">
        <f t="shared" si="10"/>
        <v>104</v>
      </c>
      <c r="I132" s="31">
        <f>IF(H132=" "," ",($I$26-$D$3*$F$13)*((H132/$F$13)-($C$18/(PI()))*SIN((PI()*H132)/$F$13))+$D$3*H132)</f>
        <v>20.3991434859103</v>
      </c>
      <c r="J132" s="31">
        <f t="shared" si="14"/>
        <v>1.00171628508457</v>
      </c>
      <c r="K132" s="31" t="str">
        <f t="shared" si="11"/>
        <v> </v>
      </c>
      <c r="L132" s="31" t="str">
        <f>IF(K132=" "," ",($L$26-$D$3*$F$12)*((K132/$F$12)-($C$18/(PI()))*SIN((PI()*K132)/$F$12))+$D$3*K132)</f>
        <v> </v>
      </c>
      <c r="M132" s="31" t="str">
        <f t="shared" si="15"/>
        <v> </v>
      </c>
    </row>
    <row r="133" spans="1:13">
      <c r="A133" s="31" t="str">
        <f t="shared" si="8"/>
        <v> </v>
      </c>
      <c r="B133" s="31" t="str">
        <f>IF(A133=" "," ",($B$26-$B$3*($F$9))*((A133/($F$9))-($C$18/(PI()))*SIN((PI()*A133)/($F$9)))+$B$3*A133)</f>
        <v> </v>
      </c>
      <c r="C133" s="31" t="str">
        <f t="shared" si="12"/>
        <v> </v>
      </c>
      <c r="D133" s="31" t="str">
        <f t="shared" si="9"/>
        <v> </v>
      </c>
      <c r="E133" s="31" t="str">
        <f>IF(D133=" "," ",($E$26-$B$3*($F$8))*((D133/($F$8))-($C$18/(PI()))*SIN((PI()*D133)/($F$8)))+$B$3*D133)</f>
        <v> </v>
      </c>
      <c r="F133" s="31" t="str">
        <f t="shared" si="13"/>
        <v> </v>
      </c>
      <c r="G133" s="31"/>
      <c r="H133" s="31">
        <f t="shared" si="10"/>
        <v>105</v>
      </c>
      <c r="I133" s="31">
        <f>IF(H133=" "," ",($I$26-$D$3*$F$13)*((H133/$F$13)-($C$18/(PI()))*SIN((PI()*H133)/$F$13))+$D$3*H133)</f>
        <v>20.7997628406058</v>
      </c>
      <c r="J133" s="31">
        <f t="shared" si="14"/>
        <v>1.00128630231739</v>
      </c>
      <c r="K133" s="31" t="str">
        <f t="shared" si="11"/>
        <v> </v>
      </c>
      <c r="L133" s="31" t="str">
        <f>IF(K133=" "," ",($L$26-$D$3*$F$12)*((K133/$F$12)-($C$18/(PI()))*SIN((PI()*K133)/$F$12))+$D$3*K133)</f>
        <v> </v>
      </c>
      <c r="M133" s="31" t="str">
        <f t="shared" si="15"/>
        <v> </v>
      </c>
    </row>
    <row r="134" spans="1:13">
      <c r="A134" s="31" t="str">
        <f t="shared" si="8"/>
        <v> </v>
      </c>
      <c r="B134" s="31" t="str">
        <f>IF(A134=" "," ",($B$26-$B$3*($F$9))*((A134/($F$9))-($C$18/(PI()))*SIN((PI()*A134)/($F$9)))+$B$3*A134)</f>
        <v> </v>
      </c>
      <c r="C134" s="31" t="str">
        <f t="shared" si="12"/>
        <v> </v>
      </c>
      <c r="D134" s="31" t="str">
        <f t="shared" si="9"/>
        <v> </v>
      </c>
      <c r="E134" s="31" t="str">
        <f>IF(D134=" "," ",($E$26-$B$3*($F$8))*((D134/($F$8))-($C$18/(PI()))*SIN((PI()*D134)/($F$8)))+$B$3*D134)</f>
        <v> </v>
      </c>
      <c r="F134" s="31" t="str">
        <f t="shared" si="13"/>
        <v> </v>
      </c>
      <c r="G134" s="31"/>
      <c r="H134" s="31">
        <f t="shared" si="10"/>
        <v>106</v>
      </c>
      <c r="I134" s="31">
        <f>IF(H134=" "," ",($I$26-$D$3*$F$13)*((H134/$F$13)-($C$18/(PI()))*SIN((PI()*H134)/$F$13))+$D$3*H134)</f>
        <v>21.2007255456934</v>
      </c>
      <c r="J134" s="31">
        <f t="shared" si="14"/>
        <v>1.00085704893722</v>
      </c>
      <c r="K134" s="31" t="str">
        <f t="shared" si="11"/>
        <v> </v>
      </c>
      <c r="L134" s="31" t="str">
        <f>IF(K134=" "," ",($L$26-$D$3*$F$12)*((K134/$F$12)-($C$18/(PI()))*SIN((PI()*K134)/$F$12))+$D$3*K134)</f>
        <v> </v>
      </c>
      <c r="M134" s="31" t="str">
        <f t="shared" si="15"/>
        <v> </v>
      </c>
    </row>
    <row r="135" spans="1:13">
      <c r="A135" s="31" t="str">
        <f t="shared" si="8"/>
        <v> </v>
      </c>
      <c r="B135" s="31" t="str">
        <f>IF(A135=" "," ",($B$26-$B$3*($F$9))*((A135/($F$9))-($C$18/(PI()))*SIN((PI()*A135)/($F$9)))+$B$3*A135)</f>
        <v> </v>
      </c>
      <c r="C135" s="31" t="str">
        <f t="shared" si="12"/>
        <v> </v>
      </c>
      <c r="D135" s="31" t="str">
        <f t="shared" si="9"/>
        <v> </v>
      </c>
      <c r="E135" s="31" t="str">
        <f>IF(D135=" "," ",($E$26-$B$3*($F$8))*((D135/($F$8))-($C$18/(PI()))*SIN((PI()*D135)/($F$8)))+$B$3*D135)</f>
        <v> </v>
      </c>
      <c r="F135" s="31" t="str">
        <f t="shared" si="13"/>
        <v> </v>
      </c>
      <c r="G135" s="31"/>
      <c r="H135" s="31">
        <f t="shared" si="10"/>
        <v>107</v>
      </c>
      <c r="I135" s="31">
        <f>IF(H135=" "," ",($I$26-$D$3*$F$13)*((H135/$F$13)-($C$18/(PI()))*SIN((PI()*H135)/$F$13))+$D$3*H135)</f>
        <v>21.60186</v>
      </c>
      <c r="J135" s="31">
        <f t="shared" si="14"/>
        <v>1.00042834212944</v>
      </c>
      <c r="K135" s="31" t="str">
        <f t="shared" si="11"/>
        <v> </v>
      </c>
      <c r="L135" s="31" t="str">
        <f>IF(K135=" "," ",($L$26-$D$3*$F$12)*((K135/$F$12)-($C$18/(PI()))*SIN((PI()*K135)/$F$12))+$D$3*K135)</f>
        <v> </v>
      </c>
      <c r="M135" s="31" t="str">
        <f t="shared" si="15"/>
        <v> </v>
      </c>
    </row>
    <row r="136" spans="1:13">
      <c r="A136" s="31" t="str">
        <f t="shared" si="8"/>
        <v> </v>
      </c>
      <c r="B136" s="31" t="str">
        <f>IF(A136=" "," ",($B$26-$B$3*($F$9))*((A136/($F$9))-($C$18/(PI()))*SIN((PI()*A136)/($F$9)))+$B$3*A136)</f>
        <v> </v>
      </c>
      <c r="C136" s="31" t="str">
        <f t="shared" si="12"/>
        <v> </v>
      </c>
      <c r="D136" s="31" t="str">
        <f t="shared" si="9"/>
        <v> </v>
      </c>
      <c r="E136" s="31" t="str">
        <f>IF(D136=" "," ",($E$26-$B$3*($F$8))*((D136/($F$8))-($C$18/(PI()))*SIN((PI()*D136)/($F$8)))+$B$3*D136)</f>
        <v> </v>
      </c>
      <c r="F136" s="31" t="str">
        <f t="shared" si="13"/>
        <v> </v>
      </c>
      <c r="G136" s="31"/>
      <c r="H136" s="31" t="str">
        <f t="shared" si="10"/>
        <v> </v>
      </c>
      <c r="I136" s="31" t="str">
        <f>IF(H136=" "," ",($I$26-$D$3*$F$13)*((H136/$F$13)-($C$18/(PI()))*SIN((PI()*H136)/$F$13))+$D$3*H136)</f>
        <v> </v>
      </c>
      <c r="J136" s="31" t="str">
        <f t="shared" si="14"/>
        <v> </v>
      </c>
      <c r="K136" s="31" t="str">
        <f t="shared" si="11"/>
        <v> </v>
      </c>
      <c r="L136" s="31" t="str">
        <f>IF(K136=" "," ",($L$26-$D$3*$F$12)*((K136/$F$12)-($C$18/(PI()))*SIN((PI()*K136)/$F$12))+$D$3*K136)</f>
        <v> </v>
      </c>
      <c r="M136" s="31" t="str">
        <f t="shared" si="15"/>
        <v> </v>
      </c>
    </row>
    <row r="137" spans="1:13">
      <c r="A137" s="31" t="str">
        <f t="shared" si="8"/>
        <v> </v>
      </c>
      <c r="B137" s="31" t="str">
        <f>IF(A137=" "," ",($B$26-$B$3*($F$9))*((A137/($F$9))-($C$18/(PI()))*SIN((PI()*A137)/($F$9)))+$B$3*A137)</f>
        <v> </v>
      </c>
      <c r="C137" s="31" t="str">
        <f t="shared" si="12"/>
        <v> </v>
      </c>
      <c r="D137" s="31" t="str">
        <f t="shared" si="9"/>
        <v> </v>
      </c>
      <c r="E137" s="31" t="str">
        <f>IF(D137=" "," ",($E$26-$B$3*($F$8))*((D137/($F$8))-($C$18/(PI()))*SIN((PI()*D137)/($F$8)))+$B$3*D137)</f>
        <v> </v>
      </c>
      <c r="F137" s="31" t="str">
        <f t="shared" si="13"/>
        <v> </v>
      </c>
      <c r="G137" s="31"/>
      <c r="H137" s="31" t="str">
        <f t="shared" si="10"/>
        <v> </v>
      </c>
      <c r="I137" s="31" t="str">
        <f>IF(H137=" "," ",($I$26-$D$3*$F$13)*((H137/$F$13)-($C$18/(PI()))*SIN((PI()*H137)/$F$13))+$D$3*H137)</f>
        <v> </v>
      </c>
      <c r="J137" s="31" t="str">
        <f t="shared" si="14"/>
        <v> </v>
      </c>
      <c r="K137" s="31" t="str">
        <f t="shared" si="11"/>
        <v> </v>
      </c>
      <c r="L137" s="31" t="str">
        <f>IF(K137=" "," ",($L$26-$D$3*$F$12)*((K137/$F$12)-($C$18/(PI()))*SIN((PI()*K137)/$F$12))+$D$3*K137)</f>
        <v> </v>
      </c>
      <c r="M137" s="31" t="str">
        <f t="shared" si="15"/>
        <v> </v>
      </c>
    </row>
    <row r="138" spans="1:13">
      <c r="A138" s="31" t="str">
        <f t="shared" si="8"/>
        <v> </v>
      </c>
      <c r="B138" s="31" t="str">
        <f>IF(A138=" "," ",($B$26-$B$3*($F$9))*((A138/($F$9))-($C$18/(PI()))*SIN((PI()*A138)/($F$9)))+$B$3*A138)</f>
        <v> </v>
      </c>
      <c r="C138" s="31" t="str">
        <f t="shared" si="12"/>
        <v> </v>
      </c>
      <c r="D138" s="31" t="str">
        <f t="shared" si="9"/>
        <v> </v>
      </c>
      <c r="E138" s="31" t="str">
        <f>IF(D138=" "," ",($E$26-$B$3*($F$8))*((D138/($F$8))-($C$18/(PI()))*SIN((PI()*D138)/($F$8)))+$B$3*D138)</f>
        <v> </v>
      </c>
      <c r="F138" s="31" t="str">
        <f t="shared" si="13"/>
        <v> </v>
      </c>
      <c r="G138" s="31"/>
      <c r="H138" s="31" t="str">
        <f t="shared" si="10"/>
        <v> </v>
      </c>
      <c r="I138" s="31" t="str">
        <f>IF(H138=" "," ",($I$26-$D$3*$F$13)*((H138/$F$13)-($C$18/(PI()))*SIN((PI()*H138)/$F$13))+$D$3*H138)</f>
        <v> </v>
      </c>
      <c r="J138" s="31" t="str">
        <f t="shared" si="14"/>
        <v> </v>
      </c>
      <c r="K138" s="31" t="str">
        <f t="shared" si="11"/>
        <v> </v>
      </c>
      <c r="L138" s="31" t="str">
        <f>IF(K138=" "," ",($L$26-$D$3*$F$12)*((K138/$F$12)-($C$18/(PI()))*SIN((PI()*K138)/$F$12))+$D$3*K138)</f>
        <v> </v>
      </c>
      <c r="M138" s="31" t="str">
        <f t="shared" si="15"/>
        <v> </v>
      </c>
    </row>
    <row r="139" spans="1:13">
      <c r="A139" s="31" t="str">
        <f t="shared" si="8"/>
        <v> </v>
      </c>
      <c r="B139" s="31" t="str">
        <f>IF(A139=" "," ",($B$26-$B$3*($F$9))*((A139/($F$9))-($C$18/(PI()))*SIN((PI()*A139)/($F$9)))+$B$3*A139)</f>
        <v> </v>
      </c>
      <c r="C139" s="31" t="str">
        <f t="shared" si="12"/>
        <v> </v>
      </c>
      <c r="D139" s="31" t="str">
        <f t="shared" si="9"/>
        <v> </v>
      </c>
      <c r="E139" s="31" t="str">
        <f>IF(D139=" "," ",($E$26-$B$3*($F$8))*((D139/($F$8))-($C$18/(PI()))*SIN((PI()*D139)/($F$8)))+$B$3*D139)</f>
        <v> </v>
      </c>
      <c r="F139" s="31" t="str">
        <f t="shared" si="13"/>
        <v> </v>
      </c>
      <c r="G139" s="31"/>
      <c r="H139" s="31" t="str">
        <f t="shared" si="10"/>
        <v> </v>
      </c>
      <c r="I139" s="31" t="str">
        <f>IF(H139=" "," ",($I$26-$D$3*$F$13)*((H139/$F$13)-($C$18/(PI()))*SIN((PI()*H139)/$F$13))+$D$3*H139)</f>
        <v> </v>
      </c>
      <c r="J139" s="31" t="str">
        <f t="shared" si="14"/>
        <v> </v>
      </c>
      <c r="K139" s="31" t="str">
        <f t="shared" si="11"/>
        <v> </v>
      </c>
      <c r="L139" s="31" t="str">
        <f>IF(K139=" "," ",($L$26-$D$3*$F$12)*((K139/$F$12)-($C$18/(PI()))*SIN((PI()*K139)/$F$12))+$D$3*K139)</f>
        <v> </v>
      </c>
      <c r="M139" s="31" t="str">
        <f t="shared" si="15"/>
        <v> </v>
      </c>
    </row>
    <row r="140" spans="1:13">
      <c r="A140" s="31" t="str">
        <f t="shared" si="8"/>
        <v> </v>
      </c>
      <c r="B140" s="31" t="str">
        <f>IF(A140=" "," ",($B$26-$B$3*($F$9))*((A140/($F$9))-($C$18/(PI()))*SIN((PI()*A140)/($F$9)))+$B$3*A140)</f>
        <v> </v>
      </c>
      <c r="C140" s="31" t="str">
        <f t="shared" si="12"/>
        <v> </v>
      </c>
      <c r="D140" s="31" t="str">
        <f t="shared" si="9"/>
        <v> </v>
      </c>
      <c r="E140" s="31" t="str">
        <f>IF(D140=" "," ",($E$26-$B$3*($F$8))*((D140/($F$8))-($C$18/(PI()))*SIN((PI()*D140)/($F$8)))+$B$3*D140)</f>
        <v> </v>
      </c>
      <c r="F140" s="31" t="str">
        <f t="shared" si="13"/>
        <v> </v>
      </c>
      <c r="G140" s="31"/>
      <c r="H140" s="31" t="str">
        <f t="shared" si="10"/>
        <v> </v>
      </c>
      <c r="I140" s="31" t="str">
        <f>IF(H140=" "," ",($I$26-$D$3*$F$13)*((H140/$F$13)-($C$18/(PI()))*SIN((PI()*H140)/$F$13))+$D$3*H140)</f>
        <v> </v>
      </c>
      <c r="J140" s="31" t="str">
        <f t="shared" si="14"/>
        <v> </v>
      </c>
      <c r="K140" s="31" t="str">
        <f t="shared" si="11"/>
        <v> </v>
      </c>
      <c r="L140" s="31" t="str">
        <f>IF(K140=" "," ",($L$26-$D$3*$F$12)*((K140/$F$12)-($C$18/(PI()))*SIN((PI()*K140)/$F$12))+$D$3*K140)</f>
        <v> </v>
      </c>
      <c r="M140" s="31" t="str">
        <f t="shared" si="15"/>
        <v> </v>
      </c>
    </row>
    <row r="141" spans="1:13">
      <c r="A141" s="31" t="str">
        <f t="shared" si="8"/>
        <v> </v>
      </c>
      <c r="B141" s="31" t="str">
        <f>IF(A141=" "," ",($B$26-$B$3*($F$9))*((A141/($F$9))-($C$18/(PI()))*SIN((PI()*A141)/($F$9)))+$B$3*A141)</f>
        <v> </v>
      </c>
      <c r="C141" s="31" t="str">
        <f t="shared" si="12"/>
        <v> </v>
      </c>
      <c r="D141" s="31" t="str">
        <f t="shared" si="9"/>
        <v> </v>
      </c>
      <c r="E141" s="31" t="str">
        <f>IF(D141=" "," ",($E$26-$B$3*($F$8))*((D141/($F$8))-($C$18/(PI()))*SIN((PI()*D141)/($F$8)))+$B$3*D141)</f>
        <v> </v>
      </c>
      <c r="F141" s="31" t="str">
        <f t="shared" si="13"/>
        <v> </v>
      </c>
      <c r="G141" s="31"/>
      <c r="H141" s="31" t="str">
        <f t="shared" si="10"/>
        <v> </v>
      </c>
      <c r="I141" s="31" t="str">
        <f>IF(H141=" "," ",($I$26-$D$3*$F$13)*((H141/$F$13)-($C$18/(PI()))*SIN((PI()*H141)/$F$13))+$D$3*H141)</f>
        <v> </v>
      </c>
      <c r="J141" s="31" t="str">
        <f t="shared" si="14"/>
        <v> </v>
      </c>
      <c r="K141" s="31" t="str">
        <f t="shared" si="11"/>
        <v> </v>
      </c>
      <c r="L141" s="31" t="str">
        <f>IF(K141=" "," ",($L$26-$D$3*$F$12)*((K141/$F$12)-($C$18/(PI()))*SIN((PI()*K141)/$F$12))+$D$3*K141)</f>
        <v> </v>
      </c>
      <c r="M141" s="31" t="str">
        <f t="shared" si="15"/>
        <v> </v>
      </c>
    </row>
    <row r="142" spans="1:13">
      <c r="A142" s="31" t="str">
        <f t="shared" si="8"/>
        <v> </v>
      </c>
      <c r="B142" s="31" t="str">
        <f>IF(A142=" "," ",($B$26-$B$3*($F$9))*((A142/($F$9))-($C$18/(PI()))*SIN((PI()*A142)/($F$9)))+$B$3*A142)</f>
        <v> </v>
      </c>
      <c r="C142" s="31" t="str">
        <f t="shared" si="12"/>
        <v> </v>
      </c>
      <c r="D142" s="31" t="str">
        <f t="shared" si="9"/>
        <v> </v>
      </c>
      <c r="E142" s="31" t="str">
        <f>IF(D142=" "," ",($E$26-$B$3*($F$8))*((D142/($F$8))-($C$18/(PI()))*SIN((PI()*D142)/($F$8)))+$B$3*D142)</f>
        <v> </v>
      </c>
      <c r="F142" s="31" t="str">
        <f t="shared" si="13"/>
        <v> </v>
      </c>
      <c r="G142" s="31"/>
      <c r="H142" s="31" t="str">
        <f t="shared" si="10"/>
        <v> </v>
      </c>
      <c r="I142" s="31" t="str">
        <f>IF(H142=" "," ",($I$26-$D$3*$F$13)*((H142/$F$13)-($C$18/(PI()))*SIN((PI()*H142)/$F$13))+$D$3*H142)</f>
        <v> </v>
      </c>
      <c r="J142" s="31" t="str">
        <f t="shared" si="14"/>
        <v> </v>
      </c>
      <c r="K142" s="31" t="str">
        <f t="shared" si="11"/>
        <v> </v>
      </c>
      <c r="L142" s="31" t="str">
        <f>IF(K142=" "," ",($L$26-$D$3*$F$12)*((K142/$F$12)-($C$18/(PI()))*SIN((PI()*K142)/$F$12))+$D$3*K142)</f>
        <v> </v>
      </c>
      <c r="M142" s="31" t="str">
        <f t="shared" si="15"/>
        <v> </v>
      </c>
    </row>
    <row r="143" spans="1:13">
      <c r="A143" s="31" t="str">
        <f t="shared" si="8"/>
        <v> </v>
      </c>
      <c r="B143" s="31" t="str">
        <f>IF(A143=" "," ",($B$26-$B$3*($F$9))*((A143/($F$9))-($C$18/(PI()))*SIN((PI()*A143)/($F$9)))+$B$3*A143)</f>
        <v> </v>
      </c>
      <c r="C143" s="31" t="str">
        <f t="shared" si="12"/>
        <v> </v>
      </c>
      <c r="D143" s="31" t="str">
        <f t="shared" si="9"/>
        <v> </v>
      </c>
      <c r="E143" s="31" t="str">
        <f>IF(D143=" "," ",($E$26-$B$3*($F$8))*((D143/($F$8))-($C$18/(PI()))*SIN((PI()*D143)/($F$8)))+$B$3*D143)</f>
        <v> </v>
      </c>
      <c r="F143" s="31" t="str">
        <f t="shared" si="13"/>
        <v> </v>
      </c>
      <c r="G143" s="31"/>
      <c r="H143" s="31" t="str">
        <f t="shared" si="10"/>
        <v> </v>
      </c>
      <c r="I143" s="31" t="str">
        <f>IF(H143=" "," ",($I$26-$D$3*$F$13)*((H143/$F$13)-($C$18/(PI()))*SIN((PI()*H143)/$F$13))+$D$3*H143)</f>
        <v> </v>
      </c>
      <c r="J143" s="31" t="str">
        <f t="shared" si="14"/>
        <v> </v>
      </c>
      <c r="K143" s="31" t="str">
        <f t="shared" si="11"/>
        <v> </v>
      </c>
      <c r="L143" s="31" t="str">
        <f>IF(K143=" "," ",($L$26-$D$3*$F$12)*((K143/$F$12)-($C$18/(PI()))*SIN((PI()*K143)/$F$12))+$D$3*K143)</f>
        <v> </v>
      </c>
      <c r="M143" s="31" t="str">
        <f t="shared" si="15"/>
        <v> </v>
      </c>
    </row>
    <row r="144" spans="1:13">
      <c r="A144" s="31" t="str">
        <f t="shared" si="8"/>
        <v> </v>
      </c>
      <c r="B144" s="31" t="str">
        <f>IF(A144=" "," ",($B$26-$B$3*($F$9))*((A144/($F$9))-($C$18/(PI()))*SIN((PI()*A144)/($F$9)))+$B$3*A144)</f>
        <v> </v>
      </c>
      <c r="C144" s="31" t="str">
        <f t="shared" si="12"/>
        <v> </v>
      </c>
      <c r="D144" s="31" t="str">
        <f t="shared" si="9"/>
        <v> </v>
      </c>
      <c r="E144" s="31" t="str">
        <f>IF(D144=" "," ",($E$26-$B$3*($F$8))*((D144/($F$8))-($C$18/(PI()))*SIN((PI()*D144)/($F$8)))+$B$3*D144)</f>
        <v> </v>
      </c>
      <c r="F144" s="31" t="str">
        <f t="shared" si="13"/>
        <v> </v>
      </c>
      <c r="G144" s="31"/>
      <c r="H144" s="31" t="str">
        <f t="shared" si="10"/>
        <v> </v>
      </c>
      <c r="I144" s="31" t="str">
        <f>IF(H144=" "," ",($I$26-$D$3*$F$13)*((H144/$F$13)-($C$18/(PI()))*SIN((PI()*H144)/$F$13))+$D$3*H144)</f>
        <v> </v>
      </c>
      <c r="J144" s="31" t="str">
        <f t="shared" si="14"/>
        <v> </v>
      </c>
      <c r="K144" s="31" t="str">
        <f t="shared" si="11"/>
        <v> </v>
      </c>
      <c r="L144" s="31" t="str">
        <f>IF(K144=" "," ",($L$26-$D$3*$F$12)*((K144/$F$12)-($C$18/(PI()))*SIN((PI()*K144)/$F$12))+$D$3*K144)</f>
        <v> </v>
      </c>
      <c r="M144" s="31" t="str">
        <f t="shared" si="15"/>
        <v> </v>
      </c>
    </row>
    <row r="145" spans="1:13">
      <c r="A145" s="31" t="str">
        <f t="shared" si="8"/>
        <v> </v>
      </c>
      <c r="B145" s="31" t="str">
        <f>IF(A145=" "," ",($B$26-$B$3*($F$9))*((A145/($F$9))-($C$18/(PI()))*SIN((PI()*A145)/($F$9)))+$B$3*A145)</f>
        <v> </v>
      </c>
      <c r="C145" s="31" t="str">
        <f t="shared" si="12"/>
        <v> </v>
      </c>
      <c r="D145" s="31" t="str">
        <f t="shared" si="9"/>
        <v> </v>
      </c>
      <c r="E145" s="31" t="str">
        <f>IF(D145=" "," ",($E$26-$B$3*($F$8))*((D145/($F$8))-($C$18/(PI()))*SIN((PI()*D145)/($F$8)))+$B$3*D145)</f>
        <v> </v>
      </c>
      <c r="F145" s="31" t="str">
        <f t="shared" si="13"/>
        <v> </v>
      </c>
      <c r="G145" s="31"/>
      <c r="H145" s="31" t="str">
        <f t="shared" si="10"/>
        <v> </v>
      </c>
      <c r="I145" s="31" t="str">
        <f>IF(H145=" "," ",($I$26-$D$3*$F$13)*((H145/$F$13)-($C$18/(PI()))*SIN((PI()*H145)/$F$13))+$D$3*H145)</f>
        <v> </v>
      </c>
      <c r="J145" s="31" t="str">
        <f t="shared" si="14"/>
        <v> </v>
      </c>
      <c r="K145" s="31" t="str">
        <f t="shared" si="11"/>
        <v> </v>
      </c>
      <c r="L145" s="31" t="str">
        <f>IF(K145=" "," ",($L$26-$D$3*$F$12)*((K145/$F$12)-($C$18/(PI()))*SIN((PI()*K145)/$F$12))+$D$3*K145)</f>
        <v> </v>
      </c>
      <c r="M145" s="31" t="str">
        <f t="shared" si="15"/>
        <v> </v>
      </c>
    </row>
    <row r="146" spans="1:13">
      <c r="A146" s="31" t="str">
        <f t="shared" si="8"/>
        <v> </v>
      </c>
      <c r="B146" s="31" t="str">
        <f>IF(A146=" "," ",($B$26-$B$3*($F$9))*((A146/($F$9))-($C$18/(PI()))*SIN((PI()*A146)/($F$9)))+$B$3*A146)</f>
        <v> </v>
      </c>
      <c r="C146" s="31" t="str">
        <f t="shared" si="12"/>
        <v> </v>
      </c>
      <c r="D146" s="31" t="str">
        <f t="shared" si="9"/>
        <v> </v>
      </c>
      <c r="E146" s="31" t="str">
        <f>IF(D146=" "," ",($E$26-$B$3*($F$8))*((D146/($F$8))-($C$18/(PI()))*SIN((PI()*D146)/($F$8)))+$B$3*D146)</f>
        <v> </v>
      </c>
      <c r="F146" s="31" t="str">
        <f t="shared" si="13"/>
        <v> </v>
      </c>
      <c r="G146" s="31"/>
      <c r="H146" s="31" t="str">
        <f t="shared" si="10"/>
        <v> </v>
      </c>
      <c r="I146" s="31" t="str">
        <f>IF(H146=" "," ",($I$26-$D$3*$F$13)*((H146/$F$13)-($C$18/(PI()))*SIN((PI()*H146)/$F$13))+$D$3*H146)</f>
        <v> </v>
      </c>
      <c r="J146" s="31" t="str">
        <f t="shared" si="14"/>
        <v> </v>
      </c>
      <c r="K146" s="31" t="str">
        <f t="shared" si="11"/>
        <v> </v>
      </c>
      <c r="L146" s="31" t="str">
        <f>IF(K146=" "," ",($L$26-$D$3*$F$12)*((K146/$F$12)-($C$18/(PI()))*SIN((PI()*K146)/$F$12))+$D$3*K146)</f>
        <v> </v>
      </c>
      <c r="M146" s="31" t="str">
        <f t="shared" si="15"/>
        <v> </v>
      </c>
    </row>
    <row r="147" spans="1:13">
      <c r="A147" s="31" t="str">
        <f t="shared" si="8"/>
        <v> </v>
      </c>
      <c r="B147" s="31" t="str">
        <f>IF(A147=" "," ",($B$26-$B$3*($F$9))*((A147/($F$9))-($C$18/(PI()))*SIN((PI()*A147)/($F$9)))+$B$3*A147)</f>
        <v> </v>
      </c>
      <c r="C147" s="31" t="str">
        <f t="shared" si="12"/>
        <v> </v>
      </c>
      <c r="D147" s="31" t="str">
        <f t="shared" si="9"/>
        <v> </v>
      </c>
      <c r="E147" s="31" t="str">
        <f>IF(D147=" "," ",($E$26-$B$3*($F$8))*((D147/($F$8))-($C$18/(PI()))*SIN((PI()*D147)/($F$8)))+$B$3*D147)</f>
        <v> </v>
      </c>
      <c r="F147" s="31" t="str">
        <f t="shared" si="13"/>
        <v> </v>
      </c>
      <c r="G147" s="31"/>
      <c r="H147" s="31" t="str">
        <f t="shared" si="10"/>
        <v> </v>
      </c>
      <c r="I147" s="31" t="str">
        <f>IF(H147=" "," ",($I$26-$D$3*$F$13)*((H147/$F$13)-($C$18/(PI()))*SIN((PI()*H147)/$F$13))+$D$3*H147)</f>
        <v> </v>
      </c>
      <c r="J147" s="31" t="str">
        <f t="shared" si="14"/>
        <v> </v>
      </c>
      <c r="K147" s="31" t="str">
        <f t="shared" si="11"/>
        <v> </v>
      </c>
      <c r="L147" s="31" t="str">
        <f>IF(K147=" "," ",($L$26-$D$3*$F$12)*((K147/$F$12)-($C$18/(PI()))*SIN((PI()*K147)/$F$12))+$D$3*K147)</f>
        <v> </v>
      </c>
      <c r="M147" s="31" t="str">
        <f t="shared" si="15"/>
        <v> </v>
      </c>
    </row>
    <row r="148" spans="1:13">
      <c r="A148" s="31" t="str">
        <f t="shared" si="8"/>
        <v> </v>
      </c>
      <c r="B148" s="31" t="str">
        <f>IF(A148=" "," ",($B$26-$B$3*($F$9))*((A148/($F$9))-($C$18/(PI()))*SIN((PI()*A148)/($F$9)))+$B$3*A148)</f>
        <v> </v>
      </c>
      <c r="C148" s="31" t="str">
        <f t="shared" si="12"/>
        <v> </v>
      </c>
      <c r="D148" s="31" t="str">
        <f t="shared" si="9"/>
        <v> </v>
      </c>
      <c r="E148" s="31" t="str">
        <f>IF(D148=" "," ",($E$26-$B$3*($F$8))*((D148/($F$8))-($C$18/(PI()))*SIN((PI()*D148)/($F$8)))+$B$3*D148)</f>
        <v> </v>
      </c>
      <c r="F148" s="31" t="str">
        <f t="shared" si="13"/>
        <v> </v>
      </c>
      <c r="G148" s="31"/>
      <c r="H148" s="31" t="str">
        <f t="shared" si="10"/>
        <v> </v>
      </c>
      <c r="I148" s="31" t="str">
        <f>IF(H148=" "," ",($I$26-$D$3*$F$13)*((H148/$F$13)-($C$18/(PI()))*SIN((PI()*H148)/$F$13))+$D$3*H148)</f>
        <v> </v>
      </c>
      <c r="J148" s="31" t="str">
        <f t="shared" si="14"/>
        <v> </v>
      </c>
      <c r="K148" s="31" t="str">
        <f t="shared" si="11"/>
        <v> </v>
      </c>
      <c r="L148" s="31" t="str">
        <f>IF(K148=" "," ",($L$26-$D$3*$F$12)*((K148/$F$12)-($C$18/(PI()))*SIN((PI()*K148)/$F$12))+$D$3*K148)</f>
        <v> </v>
      </c>
      <c r="M148" s="31" t="str">
        <f t="shared" si="15"/>
        <v> </v>
      </c>
    </row>
    <row r="149" spans="1:13">
      <c r="A149" s="31" t="str">
        <f t="shared" si="8"/>
        <v> </v>
      </c>
      <c r="B149" s="31" t="str">
        <f>IF(A149=" "," ",($B$26-$B$3*($F$9))*((A149/($F$9))-($C$18/(PI()))*SIN((PI()*A149)/($F$9)))+$B$3*A149)</f>
        <v> </v>
      </c>
      <c r="C149" s="31" t="str">
        <f t="shared" si="12"/>
        <v> </v>
      </c>
      <c r="D149" s="31" t="str">
        <f t="shared" si="9"/>
        <v> </v>
      </c>
      <c r="E149" s="31" t="str">
        <f>IF(D149=" "," ",($E$26-$B$3*($F$8))*((D149/($F$8))-($C$18/(PI()))*SIN((PI()*D149)/($F$8)))+$B$3*D149)</f>
        <v> </v>
      </c>
      <c r="F149" s="31" t="str">
        <f t="shared" si="13"/>
        <v> </v>
      </c>
      <c r="G149" s="31"/>
      <c r="H149" s="31" t="str">
        <f t="shared" si="10"/>
        <v> </v>
      </c>
      <c r="I149" s="31" t="str">
        <f>IF(H149=" "," ",($I$26-$D$3*$F$13)*((H149/$F$13)-($C$18/(PI()))*SIN((PI()*H149)/$F$13))+$D$3*H149)</f>
        <v> </v>
      </c>
      <c r="J149" s="31" t="str">
        <f t="shared" si="14"/>
        <v> </v>
      </c>
      <c r="K149" s="31" t="str">
        <f t="shared" si="11"/>
        <v> </v>
      </c>
      <c r="L149" s="31" t="str">
        <f>IF(K149=" "," ",($L$26-$D$3*$F$12)*((K149/$F$12)-($C$18/(PI()))*SIN((PI()*K149)/$F$12))+$D$3*K149)</f>
        <v> </v>
      </c>
      <c r="M149" s="31" t="str">
        <f t="shared" si="15"/>
        <v> </v>
      </c>
    </row>
    <row r="150" spans="1:13">
      <c r="A150" s="31" t="str">
        <f t="shared" si="8"/>
        <v> </v>
      </c>
      <c r="B150" s="31" t="str">
        <f>IF(A150=" "," ",($B$26-$B$3*($F$9))*((A150/($F$9))-($C$18/(PI()))*SIN((PI()*A150)/($F$9)))+$B$3*A150)</f>
        <v> </v>
      </c>
      <c r="C150" s="31" t="str">
        <f t="shared" si="12"/>
        <v> </v>
      </c>
      <c r="D150" s="31" t="str">
        <f t="shared" si="9"/>
        <v> </v>
      </c>
      <c r="E150" s="31" t="str">
        <f>IF(D150=" "," ",($E$26-$B$3*($F$8))*((D150/($F$8))-($C$18/(PI()))*SIN((PI()*D150)/($F$8)))+$B$3*D150)</f>
        <v> </v>
      </c>
      <c r="F150" s="31" t="str">
        <f t="shared" si="13"/>
        <v> </v>
      </c>
      <c r="G150" s="31"/>
      <c r="H150" s="31" t="str">
        <f t="shared" si="10"/>
        <v> </v>
      </c>
      <c r="I150" s="31" t="str">
        <f>IF(H150=" "," ",($I$26-$D$3*$F$13)*((H150/$F$13)-($C$18/(PI()))*SIN((PI()*H150)/$F$13))+$D$3*H150)</f>
        <v> </v>
      </c>
      <c r="J150" s="31" t="str">
        <f t="shared" si="14"/>
        <v> </v>
      </c>
      <c r="K150" s="31" t="str">
        <f t="shared" si="11"/>
        <v> </v>
      </c>
      <c r="L150" s="31" t="str">
        <f>IF(K150=" "," ",($L$26-$D$3*$F$12)*((K150/$F$12)-($C$18/(PI()))*SIN((PI()*K150)/$F$12))+$D$3*K150)</f>
        <v> </v>
      </c>
      <c r="M150" s="31" t="str">
        <f t="shared" si="15"/>
        <v> </v>
      </c>
    </row>
    <row r="151" spans="1:13">
      <c r="A151" s="31" t="str">
        <f t="shared" si="8"/>
        <v> </v>
      </c>
      <c r="B151" s="31" t="str">
        <f>IF(A151=" "," ",($B$26-$B$3*($F$9))*((A151/($F$9))-($C$18/(PI()))*SIN((PI()*A151)/($F$9)))+$B$3*A151)</f>
        <v> </v>
      </c>
      <c r="C151" s="31" t="str">
        <f t="shared" si="12"/>
        <v> </v>
      </c>
      <c r="D151" s="31" t="str">
        <f t="shared" si="9"/>
        <v> </v>
      </c>
      <c r="E151" s="31" t="str">
        <f>IF(D151=" "," ",($E$26-$B$3*($F$8))*((D151/($F$8))-($C$18/(PI()))*SIN((PI()*D151)/($F$8)))+$B$3*D151)</f>
        <v> </v>
      </c>
      <c r="F151" s="31" t="str">
        <f t="shared" si="13"/>
        <v> </v>
      </c>
      <c r="G151" s="31"/>
      <c r="H151" s="31" t="str">
        <f t="shared" si="10"/>
        <v> </v>
      </c>
      <c r="I151" s="31" t="str">
        <f>IF(H151=" "," ",($I$26-$D$3*$F$13)*((H151/$F$13)-($C$18/(PI()))*SIN((PI()*H151)/$F$13))+$D$3*H151)</f>
        <v> </v>
      </c>
      <c r="J151" s="31" t="str">
        <f t="shared" si="14"/>
        <v> </v>
      </c>
      <c r="K151" s="31" t="str">
        <f t="shared" si="11"/>
        <v> </v>
      </c>
      <c r="L151" s="31" t="str">
        <f>IF(K151=" "," ",($L$26-$D$3*$F$12)*((K151/$F$12)-($C$18/(PI()))*SIN((PI()*K151)/$F$12))+$D$3*K151)</f>
        <v> </v>
      </c>
      <c r="M151" s="31" t="str">
        <f t="shared" si="15"/>
        <v> </v>
      </c>
    </row>
    <row r="152" spans="1:13">
      <c r="A152" s="31" t="str">
        <f t="shared" si="8"/>
        <v> </v>
      </c>
      <c r="B152" s="31" t="str">
        <f>IF(A152=" "," ",($B$26-$B$3*($F$9))*((A152/($F$9))-($C$18/(PI()))*SIN((PI()*A152)/($F$9)))+$B$3*A152)</f>
        <v> </v>
      </c>
      <c r="C152" s="31" t="str">
        <f t="shared" si="12"/>
        <v> </v>
      </c>
      <c r="D152" s="31" t="str">
        <f t="shared" si="9"/>
        <v> </v>
      </c>
      <c r="E152" s="31" t="str">
        <f>IF(D152=" "," ",($E$26-$B$3*($F$8))*((D152/($F$8))-($C$18/(PI()))*SIN((PI()*D152)/($F$8)))+$B$3*D152)</f>
        <v> </v>
      </c>
      <c r="F152" s="31" t="str">
        <f t="shared" si="13"/>
        <v> </v>
      </c>
      <c r="G152" s="31"/>
      <c r="H152" s="31" t="str">
        <f t="shared" si="10"/>
        <v> </v>
      </c>
      <c r="I152" s="31" t="str">
        <f>IF(H152=" "," ",($I$26-$D$3*$F$13)*((H152/$F$13)-($C$18/(PI()))*SIN((PI()*H152)/$F$13))+$D$3*H152)</f>
        <v> </v>
      </c>
      <c r="J152" s="31" t="str">
        <f t="shared" si="14"/>
        <v> </v>
      </c>
      <c r="K152" s="31" t="str">
        <f t="shared" si="11"/>
        <v> </v>
      </c>
      <c r="L152" s="31" t="str">
        <f>IF(K152=" "," ",($L$26-$D$3*$F$12)*((K152/$F$12)-($C$18/(PI()))*SIN((PI()*K152)/$F$12))+$D$3*K152)</f>
        <v> </v>
      </c>
      <c r="M152" s="31" t="str">
        <f t="shared" si="15"/>
        <v> </v>
      </c>
    </row>
    <row r="153" spans="1:13">
      <c r="A153" s="31" t="str">
        <f t="shared" si="8"/>
        <v> </v>
      </c>
      <c r="B153" s="31" t="str">
        <f>IF(A153=" "," ",($B$26-$B$3*($F$9))*((A153/($F$9))-($C$18/(PI()))*SIN((PI()*A153)/($F$9)))+$B$3*A153)</f>
        <v> </v>
      </c>
      <c r="C153" s="31" t="str">
        <f t="shared" si="12"/>
        <v> </v>
      </c>
      <c r="D153" s="31" t="str">
        <f t="shared" si="9"/>
        <v> </v>
      </c>
      <c r="E153" s="31" t="str">
        <f>IF(D153=" "," ",($E$26-$B$3*($F$8))*((D153/($F$8))-($C$18/(PI()))*SIN((PI()*D153)/($F$8)))+$B$3*D153)</f>
        <v> </v>
      </c>
      <c r="F153" s="31" t="str">
        <f t="shared" si="13"/>
        <v> </v>
      </c>
      <c r="G153" s="31"/>
      <c r="H153" s="31" t="str">
        <f t="shared" si="10"/>
        <v> </v>
      </c>
      <c r="I153" s="31" t="str">
        <f>IF(H153=" "," ",($I$26-$D$3*$F$13)*((H153/$F$13)-($C$18/(PI()))*SIN((PI()*H153)/$F$13))+$D$3*H153)</f>
        <v> </v>
      </c>
      <c r="J153" s="31" t="str">
        <f t="shared" si="14"/>
        <v> </v>
      </c>
      <c r="K153" s="31" t="str">
        <f t="shared" si="11"/>
        <v> </v>
      </c>
      <c r="L153" s="31" t="str">
        <f>IF(K153=" "," ",($L$26-$D$3*$F$12)*((K153/$F$12)-($C$18/(PI()))*SIN((PI()*K153)/$F$12))+$D$3*K153)</f>
        <v> </v>
      </c>
      <c r="M153" s="31" t="str">
        <f t="shared" si="15"/>
        <v> </v>
      </c>
    </row>
    <row r="154" spans="1:13">
      <c r="A154" s="31" t="str">
        <f t="shared" si="8"/>
        <v> </v>
      </c>
      <c r="B154" s="31" t="str">
        <f>IF(A154=" "," ",($B$26-$B$3*($F$9))*((A154/($F$9))-($C$18/(PI()))*SIN((PI()*A154)/($F$9)))+$B$3*A154)</f>
        <v> </v>
      </c>
      <c r="C154" s="31" t="str">
        <f t="shared" si="12"/>
        <v> </v>
      </c>
      <c r="D154" s="31" t="str">
        <f t="shared" si="9"/>
        <v> </v>
      </c>
      <c r="E154" s="31" t="str">
        <f>IF(D154=" "," ",($E$26-$B$3*($F$8))*((D154/($F$8))-($C$18/(PI()))*SIN((PI()*D154)/($F$8)))+$B$3*D154)</f>
        <v> </v>
      </c>
      <c r="F154" s="31" t="str">
        <f t="shared" si="13"/>
        <v> </v>
      </c>
      <c r="G154" s="31"/>
      <c r="H154" s="31" t="str">
        <f t="shared" si="10"/>
        <v> </v>
      </c>
      <c r="I154" s="31" t="str">
        <f>IF(H154=" "," ",($I$26-$D$3*$F$13)*((H154/$F$13)-($C$18/(PI()))*SIN((PI()*H154)/$F$13))+$D$3*H154)</f>
        <v> </v>
      </c>
      <c r="J154" s="31" t="str">
        <f t="shared" si="14"/>
        <v> </v>
      </c>
      <c r="K154" s="31" t="str">
        <f t="shared" si="11"/>
        <v> </v>
      </c>
      <c r="L154" s="31" t="str">
        <f>IF(K154=" "," ",($L$26-$D$3*$F$12)*((K154/$F$12)-($C$18/(PI()))*SIN((PI()*K154)/$F$12))+$D$3*K154)</f>
        <v> </v>
      </c>
      <c r="M154" s="31" t="str">
        <f t="shared" si="15"/>
        <v> </v>
      </c>
    </row>
    <row r="155" spans="1:13">
      <c r="A155" s="31" t="str">
        <f t="shared" si="8"/>
        <v> </v>
      </c>
      <c r="B155" s="31" t="str">
        <f>IF(A155=" "," ",($B$26-$B$3*($F$9))*((A155/($F$9))-($C$18/(PI()))*SIN((PI()*A155)/($F$9)))+$B$3*A155)</f>
        <v> </v>
      </c>
      <c r="C155" s="31" t="str">
        <f t="shared" si="12"/>
        <v> </v>
      </c>
      <c r="D155" s="31" t="str">
        <f t="shared" si="9"/>
        <v> </v>
      </c>
      <c r="E155" s="31" t="str">
        <f>IF(D155=" "," ",($E$26-$B$3*($F$8))*((D155/($F$8))-($C$18/(PI()))*SIN((PI()*D155)/($F$8)))+$B$3*D155)</f>
        <v> </v>
      </c>
      <c r="F155" s="31" t="str">
        <f t="shared" si="13"/>
        <v> </v>
      </c>
      <c r="G155" s="31"/>
      <c r="H155" s="31" t="str">
        <f t="shared" si="10"/>
        <v> </v>
      </c>
      <c r="I155" s="31" t="str">
        <f>IF(H155=" "," ",($I$26-$D$3*$F$13)*((H155/$F$13)-($C$18/(PI()))*SIN((PI()*H155)/$F$13))+$D$3*H155)</f>
        <v> </v>
      </c>
      <c r="J155" s="31" t="str">
        <f t="shared" si="14"/>
        <v> </v>
      </c>
      <c r="K155" s="31" t="str">
        <f t="shared" si="11"/>
        <v> </v>
      </c>
      <c r="L155" s="31" t="str">
        <f>IF(K155=" "," ",($L$26-$D$3*$F$12)*((K155/$F$12)-($C$18/(PI()))*SIN((PI()*K155)/$F$12))+$D$3*K155)</f>
        <v> </v>
      </c>
      <c r="M155" s="31" t="str">
        <f t="shared" si="15"/>
        <v> </v>
      </c>
    </row>
    <row r="156" spans="1:13">
      <c r="A156" s="31" t="str">
        <f t="shared" si="8"/>
        <v> </v>
      </c>
      <c r="B156" s="31" t="str">
        <f>IF(A156=" "," ",($B$26-$B$3*($F$9))*((A156/($F$9))-($C$18/(PI()))*SIN((PI()*A156)/($F$9)))+$B$3*A156)</f>
        <v> </v>
      </c>
      <c r="C156" s="31" t="str">
        <f t="shared" si="12"/>
        <v> </v>
      </c>
      <c r="D156" s="31" t="str">
        <f t="shared" si="9"/>
        <v> </v>
      </c>
      <c r="E156" s="31" t="str">
        <f>IF(D156=" "," ",($E$26-$B$3*($F$8))*((D156/($F$8))-($C$18/(PI()))*SIN((PI()*D156)/($F$8)))+$B$3*D156)</f>
        <v> </v>
      </c>
      <c r="F156" s="31" t="str">
        <f t="shared" si="13"/>
        <v> </v>
      </c>
      <c r="G156" s="31"/>
      <c r="H156" s="31" t="str">
        <f t="shared" si="10"/>
        <v> </v>
      </c>
      <c r="I156" s="31" t="str">
        <f>IF(H156=" "," ",($I$26-$D$3*$F$13)*((H156/$F$13)-($C$18/(PI()))*SIN((PI()*H156)/$F$13))+$D$3*H156)</f>
        <v> </v>
      </c>
      <c r="J156" s="31" t="str">
        <f t="shared" si="14"/>
        <v> </v>
      </c>
      <c r="K156" s="31" t="str">
        <f t="shared" si="11"/>
        <v> </v>
      </c>
      <c r="L156" s="31" t="str">
        <f>IF(K156=" "," ",($L$26-$D$3*$F$12)*((K156/$F$12)-($C$18/(PI()))*SIN((PI()*K156)/$F$12))+$D$3*K156)</f>
        <v> </v>
      </c>
      <c r="M156" s="31" t="str">
        <f t="shared" si="15"/>
        <v> </v>
      </c>
    </row>
    <row r="157" spans="1:13">
      <c r="A157" s="31" t="str">
        <f t="shared" ref="A157:A220" si="16">IF(($F$9)-ROW(A129)&gt;=0,($F$9)-(($F$9)-ROW(A129))," ")</f>
        <v> </v>
      </c>
      <c r="B157" s="31" t="str">
        <f>IF(A157=" "," ",($B$26-$B$3*($F$9))*((A157/($F$9))-($C$18/(PI()))*SIN((PI()*A157)/($F$9)))+$B$3*A157)</f>
        <v> </v>
      </c>
      <c r="C157" s="31" t="str">
        <f t="shared" si="12"/>
        <v> </v>
      </c>
      <c r="D157" s="31" t="str">
        <f t="shared" ref="D157:D220" si="17">IF(($F$8)-ROW(D129)&gt;=0,($F$8)-(($F$8)-ROW(D129))," ")</f>
        <v> </v>
      </c>
      <c r="E157" s="31" t="str">
        <f>IF(D157=" "," ",($E$26-$B$3*($F$8))*((D157/($F$8))-($C$18/(PI()))*SIN((PI()*D157)/($F$8)))+$B$3*D157)</f>
        <v> </v>
      </c>
      <c r="F157" s="31" t="str">
        <f t="shared" si="13"/>
        <v> </v>
      </c>
      <c r="G157" s="31"/>
      <c r="H157" s="31" t="str">
        <f t="shared" ref="H157:H220" si="18">IF($F$13-ROW(H129)&gt;=0,$F$13-($F$13-ROW(H129))," ")</f>
        <v> </v>
      </c>
      <c r="I157" s="31" t="str">
        <f>IF(H157=" "," ",($I$26-$D$3*$F$13)*((H157/$F$13)-($C$18/(PI()))*SIN((PI()*H157)/$F$13))+$D$3*H157)</f>
        <v> </v>
      </c>
      <c r="J157" s="31" t="str">
        <f t="shared" si="14"/>
        <v> </v>
      </c>
      <c r="K157" s="31" t="str">
        <f t="shared" ref="K157:K220" si="19">IF($F$12-ROW(K129)&gt;=0,$F$12-($F$12-ROW(K129))," ")</f>
        <v> </v>
      </c>
      <c r="L157" s="31" t="str">
        <f>IF(K157=" "," ",($L$26-$D$3*$F$12)*((K157/$F$12)-($C$18/(PI()))*SIN((PI()*K157)/$F$12))+$D$3*K157)</f>
        <v> </v>
      </c>
      <c r="M157" s="31" t="str">
        <f t="shared" si="15"/>
        <v> </v>
      </c>
    </row>
    <row r="158" spans="1:13">
      <c r="A158" s="31" t="str">
        <f t="shared" si="16"/>
        <v> </v>
      </c>
      <c r="B158" s="31" t="str">
        <f>IF(A158=" "," ",($B$26-$B$3*($F$9))*((A158/($F$9))-($C$18/(PI()))*SIN((PI()*A158)/($F$9)))+$B$3*A158)</f>
        <v> </v>
      </c>
      <c r="C158" s="31" t="str">
        <f t="shared" ref="C158:C221" si="20">IF(A158=" "," ",(B158-B157)/(B157-B156))</f>
        <v> </v>
      </c>
      <c r="D158" s="31" t="str">
        <f t="shared" si="17"/>
        <v> </v>
      </c>
      <c r="E158" s="31" t="str">
        <f>IF(D158=" "," ",($E$26-$B$3*($F$8))*((D158/($F$8))-($C$18/(PI()))*SIN((PI()*D158)/($F$8)))+$B$3*D158)</f>
        <v> </v>
      </c>
      <c r="F158" s="31" t="str">
        <f t="shared" ref="F158:F221" si="21">IF(D158=" "," ",(E158-E157)/(E157-E156))</f>
        <v> </v>
      </c>
      <c r="G158" s="31"/>
      <c r="H158" s="31" t="str">
        <f t="shared" si="18"/>
        <v> </v>
      </c>
      <c r="I158" s="31" t="str">
        <f>IF(H158=" "," ",($I$26-$D$3*$F$13)*((H158/$F$13)-($C$18/(PI()))*SIN((PI()*H158)/$F$13))+$D$3*H158)</f>
        <v> </v>
      </c>
      <c r="J158" s="31" t="str">
        <f t="shared" ref="J158:J221" si="22">IF(H158=" "," ",(I158-I157)/(I157-I156))</f>
        <v> </v>
      </c>
      <c r="K158" s="31" t="str">
        <f t="shared" si="19"/>
        <v> </v>
      </c>
      <c r="L158" s="31" t="str">
        <f>IF(K158=" "," ",($L$26-$D$3*$F$12)*((K158/$F$12)-($C$18/(PI()))*SIN((PI()*K158)/$F$12))+$D$3*K158)</f>
        <v> </v>
      </c>
      <c r="M158" s="31" t="str">
        <f t="shared" ref="M158:M221" si="23">IF(K158=" "," ",(L158-L157)/(L157-L156))</f>
        <v> </v>
      </c>
    </row>
    <row r="159" spans="1:13">
      <c r="A159" s="31" t="str">
        <f t="shared" si="16"/>
        <v> </v>
      </c>
      <c r="B159" s="31" t="str">
        <f>IF(A159=" "," ",($B$26-$B$3*($F$9))*((A159/($F$9))-($C$18/(PI()))*SIN((PI()*A159)/($F$9)))+$B$3*A159)</f>
        <v> </v>
      </c>
      <c r="C159" s="31" t="str">
        <f t="shared" si="20"/>
        <v> </v>
      </c>
      <c r="D159" s="31" t="str">
        <f t="shared" si="17"/>
        <v> </v>
      </c>
      <c r="E159" s="31" t="str">
        <f>IF(D159=" "," ",($E$26-$B$3*($F$8))*((D159/($F$8))-($C$18/(PI()))*SIN((PI()*D159)/($F$8)))+$B$3*D159)</f>
        <v> </v>
      </c>
      <c r="F159" s="31" t="str">
        <f t="shared" si="21"/>
        <v> </v>
      </c>
      <c r="G159" s="31"/>
      <c r="H159" s="31" t="str">
        <f t="shared" si="18"/>
        <v> </v>
      </c>
      <c r="I159" s="31" t="str">
        <f>IF(H159=" "," ",($I$26-$D$3*$F$13)*((H159/$F$13)-($C$18/(PI()))*SIN((PI()*H159)/$F$13))+$D$3*H159)</f>
        <v> </v>
      </c>
      <c r="J159" s="31" t="str">
        <f t="shared" si="22"/>
        <v> </v>
      </c>
      <c r="K159" s="31" t="str">
        <f t="shared" si="19"/>
        <v> </v>
      </c>
      <c r="L159" s="31" t="str">
        <f>IF(K159=" "," ",($L$26-$D$3*$F$12)*((K159/$F$12)-($C$18/(PI()))*SIN((PI()*K159)/$F$12))+$D$3*K159)</f>
        <v> </v>
      </c>
      <c r="M159" s="31" t="str">
        <f t="shared" si="23"/>
        <v> </v>
      </c>
    </row>
    <row r="160" spans="1:13">
      <c r="A160" s="31" t="str">
        <f t="shared" si="16"/>
        <v> </v>
      </c>
      <c r="B160" s="31" t="str">
        <f>IF(A160=" "," ",($B$26-$B$3*($F$9))*((A160/($F$9))-($C$18/(PI()))*SIN((PI()*A160)/($F$9)))+$B$3*A160)</f>
        <v> </v>
      </c>
      <c r="C160" s="31" t="str">
        <f t="shared" si="20"/>
        <v> </v>
      </c>
      <c r="D160" s="31" t="str">
        <f t="shared" si="17"/>
        <v> </v>
      </c>
      <c r="E160" s="31" t="str">
        <f>IF(D160=" "," ",($E$26-$B$3*($F$8))*((D160/($F$8))-($C$18/(PI()))*SIN((PI()*D160)/($F$8)))+$B$3*D160)</f>
        <v> </v>
      </c>
      <c r="F160" s="31" t="str">
        <f t="shared" si="21"/>
        <v> </v>
      </c>
      <c r="G160" s="31"/>
      <c r="H160" s="31" t="str">
        <f t="shared" si="18"/>
        <v> </v>
      </c>
      <c r="I160" s="31" t="str">
        <f>IF(H160=" "," ",($I$26-$D$3*$F$13)*((H160/$F$13)-($C$18/(PI()))*SIN((PI()*H160)/$F$13))+$D$3*H160)</f>
        <v> </v>
      </c>
      <c r="J160" s="31" t="str">
        <f t="shared" si="22"/>
        <v> </v>
      </c>
      <c r="K160" s="31" t="str">
        <f t="shared" si="19"/>
        <v> </v>
      </c>
      <c r="L160" s="31" t="str">
        <f>IF(K160=" "," ",($L$26-$D$3*$F$12)*((K160/$F$12)-($C$18/(PI()))*SIN((PI()*K160)/$F$12))+$D$3*K160)</f>
        <v> </v>
      </c>
      <c r="M160" s="31" t="str">
        <f t="shared" si="23"/>
        <v> </v>
      </c>
    </row>
    <row r="161" spans="1:13">
      <c r="A161" s="31" t="str">
        <f t="shared" si="16"/>
        <v> </v>
      </c>
      <c r="B161" s="31" t="str">
        <f>IF(A161=" "," ",($B$26-$B$3*($F$9))*((A161/($F$9))-($C$18/(PI()))*SIN((PI()*A161)/($F$9)))+$B$3*A161)</f>
        <v> </v>
      </c>
      <c r="C161" s="31" t="str">
        <f t="shared" si="20"/>
        <v> </v>
      </c>
      <c r="D161" s="31" t="str">
        <f t="shared" si="17"/>
        <v> </v>
      </c>
      <c r="E161" s="31" t="str">
        <f>IF(D161=" "," ",($E$26-$B$3*($F$8))*((D161/($F$8))-($C$18/(PI()))*SIN((PI()*D161)/($F$8)))+$B$3*D161)</f>
        <v> </v>
      </c>
      <c r="F161" s="31" t="str">
        <f t="shared" si="21"/>
        <v> </v>
      </c>
      <c r="G161" s="31"/>
      <c r="H161" s="31" t="str">
        <f t="shared" si="18"/>
        <v> </v>
      </c>
      <c r="I161" s="31" t="str">
        <f>IF(H161=" "," ",($I$26-$D$3*$F$13)*((H161/$F$13)-($C$18/(PI()))*SIN((PI()*H161)/$F$13))+$D$3*H161)</f>
        <v> </v>
      </c>
      <c r="J161" s="31" t="str">
        <f t="shared" si="22"/>
        <v> </v>
      </c>
      <c r="K161" s="31" t="str">
        <f t="shared" si="19"/>
        <v> </v>
      </c>
      <c r="L161" s="31" t="str">
        <f>IF(K161=" "," ",($L$26-$D$3*$F$12)*((K161/$F$12)-($C$18/(PI()))*SIN((PI()*K161)/$F$12))+$D$3*K161)</f>
        <v> </v>
      </c>
      <c r="M161" s="31" t="str">
        <f t="shared" si="23"/>
        <v> </v>
      </c>
    </row>
    <row r="162" spans="1:13">
      <c r="A162" s="31" t="str">
        <f t="shared" si="16"/>
        <v> </v>
      </c>
      <c r="B162" s="31" t="str">
        <f>IF(A162=" "," ",($B$26-$B$3*($F$9))*((A162/($F$9))-($C$18/(PI()))*SIN((PI()*A162)/($F$9)))+$B$3*A162)</f>
        <v> </v>
      </c>
      <c r="C162" s="31" t="str">
        <f t="shared" si="20"/>
        <v> </v>
      </c>
      <c r="D162" s="31" t="str">
        <f t="shared" si="17"/>
        <v> </v>
      </c>
      <c r="E162" s="31" t="str">
        <f>IF(D162=" "," ",($E$26-$B$3*($F$8))*((D162/($F$8))-($C$18/(PI()))*SIN((PI()*D162)/($F$8)))+$B$3*D162)</f>
        <v> </v>
      </c>
      <c r="F162" s="31" t="str">
        <f t="shared" si="21"/>
        <v> </v>
      </c>
      <c r="G162" s="31"/>
      <c r="H162" s="31" t="str">
        <f t="shared" si="18"/>
        <v> </v>
      </c>
      <c r="I162" s="31" t="str">
        <f>IF(H162=" "," ",($I$26-$D$3*$F$13)*((H162/$F$13)-($C$18/(PI()))*SIN((PI()*H162)/$F$13))+$D$3*H162)</f>
        <v> </v>
      </c>
      <c r="J162" s="31" t="str">
        <f t="shared" si="22"/>
        <v> </v>
      </c>
      <c r="K162" s="31" t="str">
        <f t="shared" si="19"/>
        <v> </v>
      </c>
      <c r="L162" s="31" t="str">
        <f>IF(K162=" "," ",($L$26-$D$3*$F$12)*((K162/$F$12)-($C$18/(PI()))*SIN((PI()*K162)/$F$12))+$D$3*K162)</f>
        <v> </v>
      </c>
      <c r="M162" s="31" t="str">
        <f t="shared" si="23"/>
        <v> </v>
      </c>
    </row>
    <row r="163" spans="1:13">
      <c r="A163" s="31" t="str">
        <f t="shared" si="16"/>
        <v> </v>
      </c>
      <c r="B163" s="31" t="str">
        <f>IF(A163=" "," ",($B$26-$B$3*($F$9))*((A163/($F$9))-($C$18/(PI()))*SIN((PI()*A163)/($F$9)))+$B$3*A163)</f>
        <v> </v>
      </c>
      <c r="C163" s="31" t="str">
        <f t="shared" si="20"/>
        <v> </v>
      </c>
      <c r="D163" s="31" t="str">
        <f t="shared" si="17"/>
        <v> </v>
      </c>
      <c r="E163" s="31" t="str">
        <f>IF(D163=" "," ",($E$26-$B$3*($F$8))*((D163/($F$8))-($C$18/(PI()))*SIN((PI()*D163)/($F$8)))+$B$3*D163)</f>
        <v> </v>
      </c>
      <c r="F163" s="31" t="str">
        <f t="shared" si="21"/>
        <v> </v>
      </c>
      <c r="G163" s="31"/>
      <c r="H163" s="31" t="str">
        <f t="shared" si="18"/>
        <v> </v>
      </c>
      <c r="I163" s="31" t="str">
        <f>IF(H163=" "," ",($I$26-$D$3*$F$13)*((H163/$F$13)-($C$18/(PI()))*SIN((PI()*H163)/$F$13))+$D$3*H163)</f>
        <v> </v>
      </c>
      <c r="J163" s="31" t="str">
        <f t="shared" si="22"/>
        <v> </v>
      </c>
      <c r="K163" s="31" t="str">
        <f t="shared" si="19"/>
        <v> </v>
      </c>
      <c r="L163" s="31" t="str">
        <f>IF(K163=" "," ",($L$26-$D$3*$F$12)*((K163/$F$12)-($C$18/(PI()))*SIN((PI()*K163)/$F$12))+$D$3*K163)</f>
        <v> </v>
      </c>
      <c r="M163" s="31" t="str">
        <f t="shared" si="23"/>
        <v> </v>
      </c>
    </row>
    <row r="164" spans="1:13">
      <c r="A164" s="31" t="str">
        <f t="shared" si="16"/>
        <v> </v>
      </c>
      <c r="B164" s="31" t="str">
        <f>IF(A164=" "," ",($B$26-$B$3*($F$9))*((A164/($F$9))-($C$18/(PI()))*SIN((PI()*A164)/($F$9)))+$B$3*A164)</f>
        <v> </v>
      </c>
      <c r="C164" s="31" t="str">
        <f t="shared" si="20"/>
        <v> </v>
      </c>
      <c r="D164" s="31" t="str">
        <f t="shared" si="17"/>
        <v> </v>
      </c>
      <c r="E164" s="31" t="str">
        <f>IF(D164=" "," ",($E$26-$B$3*($F$8))*((D164/($F$8))-($C$18/(PI()))*SIN((PI()*D164)/($F$8)))+$B$3*D164)</f>
        <v> </v>
      </c>
      <c r="F164" s="31" t="str">
        <f t="shared" si="21"/>
        <v> </v>
      </c>
      <c r="G164" s="31"/>
      <c r="H164" s="31" t="str">
        <f t="shared" si="18"/>
        <v> </v>
      </c>
      <c r="I164" s="31" t="str">
        <f>IF(H164=" "," ",($I$26-$D$3*$F$13)*((H164/$F$13)-($C$18/(PI()))*SIN((PI()*H164)/$F$13))+$D$3*H164)</f>
        <v> </v>
      </c>
      <c r="J164" s="31" t="str">
        <f t="shared" si="22"/>
        <v> </v>
      </c>
      <c r="K164" s="31" t="str">
        <f t="shared" si="19"/>
        <v> </v>
      </c>
      <c r="L164" s="31" t="str">
        <f>IF(K164=" "," ",($L$26-$D$3*$F$12)*((K164/$F$12)-($C$18/(PI()))*SIN((PI()*K164)/$F$12))+$D$3*K164)</f>
        <v> </v>
      </c>
      <c r="M164" s="31" t="str">
        <f t="shared" si="23"/>
        <v> </v>
      </c>
    </row>
    <row r="165" spans="1:13">
      <c r="A165" s="31" t="str">
        <f t="shared" si="16"/>
        <v> </v>
      </c>
      <c r="B165" s="31" t="str">
        <f>IF(A165=" "," ",($B$26-$B$3*($F$9))*((A165/($F$9))-($C$18/(PI()))*SIN((PI()*A165)/($F$9)))+$B$3*A165)</f>
        <v> </v>
      </c>
      <c r="C165" s="31" t="str">
        <f t="shared" si="20"/>
        <v> </v>
      </c>
      <c r="D165" s="31" t="str">
        <f t="shared" si="17"/>
        <v> </v>
      </c>
      <c r="E165" s="31" t="str">
        <f>IF(D165=" "," ",($E$26-$B$3*($F$8))*((D165/($F$8))-($C$18/(PI()))*SIN((PI()*D165)/($F$8)))+$B$3*D165)</f>
        <v> </v>
      </c>
      <c r="F165" s="31" t="str">
        <f t="shared" si="21"/>
        <v> </v>
      </c>
      <c r="G165" s="31"/>
      <c r="H165" s="31" t="str">
        <f t="shared" si="18"/>
        <v> </v>
      </c>
      <c r="I165" s="31" t="str">
        <f>IF(H165=" "," ",($I$26-$D$3*$F$13)*((H165/$F$13)-($C$18/(PI()))*SIN((PI()*H165)/$F$13))+$D$3*H165)</f>
        <v> </v>
      </c>
      <c r="J165" s="31" t="str">
        <f t="shared" si="22"/>
        <v> </v>
      </c>
      <c r="K165" s="31" t="str">
        <f t="shared" si="19"/>
        <v> </v>
      </c>
      <c r="L165" s="31" t="str">
        <f>IF(K165=" "," ",($L$26-$D$3*$F$12)*((K165/$F$12)-($C$18/(PI()))*SIN((PI()*K165)/$F$12))+$D$3*K165)</f>
        <v> </v>
      </c>
      <c r="M165" s="31" t="str">
        <f t="shared" si="23"/>
        <v> </v>
      </c>
    </row>
    <row r="166" spans="1:13">
      <c r="A166" s="31" t="str">
        <f t="shared" si="16"/>
        <v> </v>
      </c>
      <c r="B166" s="31" t="str">
        <f>IF(A166=" "," ",($B$26-$B$3*($F$9))*((A166/($F$9))-($C$18/(PI()))*SIN((PI()*A166)/($F$9)))+$B$3*A166)</f>
        <v> </v>
      </c>
      <c r="C166" s="31" t="str">
        <f t="shared" si="20"/>
        <v> </v>
      </c>
      <c r="D166" s="31" t="str">
        <f t="shared" si="17"/>
        <v> </v>
      </c>
      <c r="E166" s="31" t="str">
        <f>IF(D166=" "," ",($E$26-$B$3*($F$8))*((D166/($F$8))-($C$18/(PI()))*SIN((PI()*D166)/($F$8)))+$B$3*D166)</f>
        <v> </v>
      </c>
      <c r="F166" s="31" t="str">
        <f t="shared" si="21"/>
        <v> </v>
      </c>
      <c r="G166" s="31"/>
      <c r="H166" s="31" t="str">
        <f t="shared" si="18"/>
        <v> </v>
      </c>
      <c r="I166" s="31" t="str">
        <f>IF(H166=" "," ",($I$26-$D$3*$F$13)*((H166/$F$13)-($C$18/(PI()))*SIN((PI()*H166)/$F$13))+$D$3*H166)</f>
        <v> </v>
      </c>
      <c r="J166" s="31" t="str">
        <f t="shared" si="22"/>
        <v> </v>
      </c>
      <c r="K166" s="31" t="str">
        <f t="shared" si="19"/>
        <v> </v>
      </c>
      <c r="L166" s="31" t="str">
        <f>IF(K166=" "," ",($L$26-$D$3*$F$12)*((K166/$F$12)-($C$18/(PI()))*SIN((PI()*K166)/$F$12))+$D$3*K166)</f>
        <v> </v>
      </c>
      <c r="M166" s="31" t="str">
        <f t="shared" si="23"/>
        <v> </v>
      </c>
    </row>
    <row r="167" spans="1:13">
      <c r="A167" s="31" t="str">
        <f t="shared" si="16"/>
        <v> </v>
      </c>
      <c r="B167" s="31" t="str">
        <f>IF(A167=" "," ",($B$26-$B$3*($F$9))*((A167/($F$9))-($C$18/(PI()))*SIN((PI()*A167)/($F$9)))+$B$3*A167)</f>
        <v> </v>
      </c>
      <c r="C167" s="31" t="str">
        <f t="shared" si="20"/>
        <v> </v>
      </c>
      <c r="D167" s="31" t="str">
        <f t="shared" si="17"/>
        <v> </v>
      </c>
      <c r="E167" s="31" t="str">
        <f>IF(D167=" "," ",($E$26-$B$3*($F$8))*((D167/($F$8))-($C$18/(PI()))*SIN((PI()*D167)/($F$8)))+$B$3*D167)</f>
        <v> </v>
      </c>
      <c r="F167" s="31" t="str">
        <f t="shared" si="21"/>
        <v> </v>
      </c>
      <c r="G167" s="31"/>
      <c r="H167" s="31" t="str">
        <f t="shared" si="18"/>
        <v> </v>
      </c>
      <c r="I167" s="31" t="str">
        <f>IF(H167=" "," ",($I$26-$D$3*$F$13)*((H167/$F$13)-($C$18/(PI()))*SIN((PI()*H167)/$F$13))+$D$3*H167)</f>
        <v> </v>
      </c>
      <c r="J167" s="31" t="str">
        <f t="shared" si="22"/>
        <v> </v>
      </c>
      <c r="K167" s="31" t="str">
        <f t="shared" si="19"/>
        <v> </v>
      </c>
      <c r="L167" s="31" t="str">
        <f>IF(K167=" "," ",($L$26-$D$3*$F$12)*((K167/$F$12)-($C$18/(PI()))*SIN((PI()*K167)/$F$12))+$D$3*K167)</f>
        <v> </v>
      </c>
      <c r="M167" s="31" t="str">
        <f t="shared" si="23"/>
        <v> </v>
      </c>
    </row>
    <row r="168" spans="1:13">
      <c r="A168" s="31" t="str">
        <f t="shared" si="16"/>
        <v> </v>
      </c>
      <c r="B168" s="31" t="str">
        <f>IF(A168=" "," ",($B$26-$B$3*($F$9))*((A168/($F$9))-($C$18/(PI()))*SIN((PI()*A168)/($F$9)))+$B$3*A168)</f>
        <v> </v>
      </c>
      <c r="C168" s="31" t="str">
        <f t="shared" si="20"/>
        <v> </v>
      </c>
      <c r="D168" s="31" t="str">
        <f t="shared" si="17"/>
        <v> </v>
      </c>
      <c r="E168" s="31" t="str">
        <f>IF(D168=" "," ",($E$26-$B$3*($F$8))*((D168/($F$8))-($C$18/(PI()))*SIN((PI()*D168)/($F$8)))+$B$3*D168)</f>
        <v> </v>
      </c>
      <c r="F168" s="31" t="str">
        <f t="shared" si="21"/>
        <v> </v>
      </c>
      <c r="G168" s="31"/>
      <c r="H168" s="31" t="str">
        <f t="shared" si="18"/>
        <v> </v>
      </c>
      <c r="I168" s="31" t="str">
        <f>IF(H168=" "," ",($I$26-$D$3*$F$13)*((H168/$F$13)-($C$18/(PI()))*SIN((PI()*H168)/$F$13))+$D$3*H168)</f>
        <v> </v>
      </c>
      <c r="J168" s="31" t="str">
        <f t="shared" si="22"/>
        <v> </v>
      </c>
      <c r="K168" s="31" t="str">
        <f t="shared" si="19"/>
        <v> </v>
      </c>
      <c r="L168" s="31" t="str">
        <f>IF(K168=" "," ",($L$26-$D$3*$F$12)*((K168/$F$12)-($C$18/(PI()))*SIN((PI()*K168)/$F$12))+$D$3*K168)</f>
        <v> </v>
      </c>
      <c r="M168" s="31" t="str">
        <f t="shared" si="23"/>
        <v> </v>
      </c>
    </row>
    <row r="169" spans="1:13">
      <c r="A169" s="31" t="str">
        <f t="shared" si="16"/>
        <v> </v>
      </c>
      <c r="B169" s="31" t="str">
        <f>IF(A169=" "," ",($B$26-$B$3*($F$9))*((A169/($F$9))-($C$18/(PI()))*SIN((PI()*A169)/($F$9)))+$B$3*A169)</f>
        <v> </v>
      </c>
      <c r="C169" s="31" t="str">
        <f t="shared" si="20"/>
        <v> </v>
      </c>
      <c r="D169" s="31" t="str">
        <f t="shared" si="17"/>
        <v> </v>
      </c>
      <c r="E169" s="31" t="str">
        <f>IF(D169=" "," ",($E$26-$B$3*($F$8))*((D169/($F$8))-($C$18/(PI()))*SIN((PI()*D169)/($F$8)))+$B$3*D169)</f>
        <v> </v>
      </c>
      <c r="F169" s="31" t="str">
        <f t="shared" si="21"/>
        <v> </v>
      </c>
      <c r="G169" s="31"/>
      <c r="H169" s="31" t="str">
        <f t="shared" si="18"/>
        <v> </v>
      </c>
      <c r="I169" s="31" t="str">
        <f>IF(H169=" "," ",($I$26-$D$3*$F$13)*((H169/$F$13)-($C$18/(PI()))*SIN((PI()*H169)/$F$13))+$D$3*H169)</f>
        <v> </v>
      </c>
      <c r="J169" s="31" t="str">
        <f t="shared" si="22"/>
        <v> </v>
      </c>
      <c r="K169" s="31" t="str">
        <f t="shared" si="19"/>
        <v> </v>
      </c>
      <c r="L169" s="31" t="str">
        <f>IF(K169=" "," ",($L$26-$D$3*$F$12)*((K169/$F$12)-($C$18/(PI()))*SIN((PI()*K169)/$F$12))+$D$3*K169)</f>
        <v> </v>
      </c>
      <c r="M169" s="31" t="str">
        <f t="shared" si="23"/>
        <v> </v>
      </c>
    </row>
    <row r="170" spans="1:13">
      <c r="A170" s="31" t="str">
        <f t="shared" si="16"/>
        <v> </v>
      </c>
      <c r="B170" s="31" t="str">
        <f>IF(A170=" "," ",($B$26-$B$3*($F$9))*((A170/($F$9))-($C$18/(PI()))*SIN((PI()*A170)/($F$9)))+$B$3*A170)</f>
        <v> </v>
      </c>
      <c r="C170" s="31" t="str">
        <f t="shared" si="20"/>
        <v> </v>
      </c>
      <c r="D170" s="31" t="str">
        <f t="shared" si="17"/>
        <v> </v>
      </c>
      <c r="E170" s="31" t="str">
        <f>IF(D170=" "," ",($E$26-$B$3*($F$8))*((D170/($F$8))-($C$18/(PI()))*SIN((PI()*D170)/($F$8)))+$B$3*D170)</f>
        <v> </v>
      </c>
      <c r="F170" s="31" t="str">
        <f t="shared" si="21"/>
        <v> </v>
      </c>
      <c r="G170" s="31"/>
      <c r="H170" s="31" t="str">
        <f t="shared" si="18"/>
        <v> </v>
      </c>
      <c r="I170" s="31" t="str">
        <f>IF(H170=" "," ",($I$26-$D$3*$F$13)*((H170/$F$13)-($C$18/(PI()))*SIN((PI()*H170)/$F$13))+$D$3*H170)</f>
        <v> </v>
      </c>
      <c r="J170" s="31" t="str">
        <f t="shared" si="22"/>
        <v> </v>
      </c>
      <c r="K170" s="31" t="str">
        <f t="shared" si="19"/>
        <v> </v>
      </c>
      <c r="L170" s="31" t="str">
        <f>IF(K170=" "," ",($L$26-$D$3*$F$12)*((K170/$F$12)-($C$18/(PI()))*SIN((PI()*K170)/$F$12))+$D$3*K170)</f>
        <v> </v>
      </c>
      <c r="M170" s="31" t="str">
        <f t="shared" si="23"/>
        <v> </v>
      </c>
    </row>
    <row r="171" spans="1:13">
      <c r="A171" s="31" t="str">
        <f t="shared" si="16"/>
        <v> </v>
      </c>
      <c r="B171" s="31" t="str">
        <f>IF(A171=" "," ",($B$26-$B$3*($F$9))*((A171/($F$9))-($C$18/(PI()))*SIN((PI()*A171)/($F$9)))+$B$3*A171)</f>
        <v> </v>
      </c>
      <c r="C171" s="31" t="str">
        <f t="shared" si="20"/>
        <v> </v>
      </c>
      <c r="D171" s="31" t="str">
        <f t="shared" si="17"/>
        <v> </v>
      </c>
      <c r="E171" s="31" t="str">
        <f>IF(D171=" "," ",($E$26-$B$3*($F$8))*((D171/($F$8))-($C$18/(PI()))*SIN((PI()*D171)/($F$8)))+$B$3*D171)</f>
        <v> </v>
      </c>
      <c r="F171" s="31" t="str">
        <f t="shared" si="21"/>
        <v> </v>
      </c>
      <c r="G171" s="31"/>
      <c r="H171" s="31" t="str">
        <f t="shared" si="18"/>
        <v> </v>
      </c>
      <c r="I171" s="31" t="str">
        <f>IF(H171=" "," ",($I$26-$D$3*$F$13)*((H171/$F$13)-($C$18/(PI()))*SIN((PI()*H171)/$F$13))+$D$3*H171)</f>
        <v> </v>
      </c>
      <c r="J171" s="31" t="str">
        <f t="shared" si="22"/>
        <v> </v>
      </c>
      <c r="K171" s="31" t="str">
        <f t="shared" si="19"/>
        <v> </v>
      </c>
      <c r="L171" s="31" t="str">
        <f>IF(K171=" "," ",($L$26-$D$3*$F$12)*((K171/$F$12)-($C$18/(PI()))*SIN((PI()*K171)/$F$12))+$D$3*K171)</f>
        <v> </v>
      </c>
      <c r="M171" s="31" t="str">
        <f t="shared" si="23"/>
        <v> </v>
      </c>
    </row>
    <row r="172" spans="1:13">
      <c r="A172" s="31" t="str">
        <f t="shared" si="16"/>
        <v> </v>
      </c>
      <c r="B172" s="31" t="str">
        <f>IF(A172=" "," ",($B$26-$B$3*($F$9))*((A172/($F$9))-($C$18/(PI()))*SIN((PI()*A172)/($F$9)))+$B$3*A172)</f>
        <v> </v>
      </c>
      <c r="C172" s="31" t="str">
        <f t="shared" si="20"/>
        <v> </v>
      </c>
      <c r="D172" s="31" t="str">
        <f t="shared" si="17"/>
        <v> </v>
      </c>
      <c r="E172" s="31" t="str">
        <f>IF(D172=" "," ",($E$26-$B$3*($F$8))*((D172/($F$8))-($C$18/(PI()))*SIN((PI()*D172)/($F$8)))+$B$3*D172)</f>
        <v> </v>
      </c>
      <c r="F172" s="31" t="str">
        <f t="shared" si="21"/>
        <v> </v>
      </c>
      <c r="G172" s="31"/>
      <c r="H172" s="31" t="str">
        <f t="shared" si="18"/>
        <v> </v>
      </c>
      <c r="I172" s="31" t="str">
        <f>IF(H172=" "," ",($I$26-$D$3*$F$13)*((H172/$F$13)-($C$18/(PI()))*SIN((PI()*H172)/$F$13))+$D$3*H172)</f>
        <v> </v>
      </c>
      <c r="J172" s="31" t="str">
        <f t="shared" si="22"/>
        <v> </v>
      </c>
      <c r="K172" s="31" t="str">
        <f t="shared" si="19"/>
        <v> </v>
      </c>
      <c r="L172" s="31" t="str">
        <f>IF(K172=" "," ",($L$26-$D$3*$F$12)*((K172/$F$12)-($C$18/(PI()))*SIN((PI()*K172)/$F$12))+$D$3*K172)</f>
        <v> </v>
      </c>
      <c r="M172" s="31" t="str">
        <f t="shared" si="23"/>
        <v> </v>
      </c>
    </row>
    <row r="173" spans="1:13">
      <c r="A173" s="31" t="str">
        <f t="shared" si="16"/>
        <v> </v>
      </c>
      <c r="B173" s="31" t="str">
        <f>IF(A173=" "," ",($B$26-$B$3*($F$9))*((A173/($F$9))-($C$18/(PI()))*SIN((PI()*A173)/($F$9)))+$B$3*A173)</f>
        <v> </v>
      </c>
      <c r="C173" s="31" t="str">
        <f t="shared" si="20"/>
        <v> </v>
      </c>
      <c r="D173" s="31" t="str">
        <f t="shared" si="17"/>
        <v> </v>
      </c>
      <c r="E173" s="31" t="str">
        <f>IF(D173=" "," ",($E$26-$B$3*($F$8))*((D173/($F$8))-($C$18/(PI()))*SIN((PI()*D173)/($F$8)))+$B$3*D173)</f>
        <v> </v>
      </c>
      <c r="F173" s="31" t="str">
        <f t="shared" si="21"/>
        <v> </v>
      </c>
      <c r="G173" s="31"/>
      <c r="H173" s="31" t="str">
        <f t="shared" si="18"/>
        <v> </v>
      </c>
      <c r="I173" s="31" t="str">
        <f>IF(H173=" "," ",($I$26-$D$3*$F$13)*((H173/$F$13)-($C$18/(PI()))*SIN((PI()*H173)/$F$13))+$D$3*H173)</f>
        <v> </v>
      </c>
      <c r="J173" s="31" t="str">
        <f t="shared" si="22"/>
        <v> </v>
      </c>
      <c r="K173" s="31" t="str">
        <f t="shared" si="19"/>
        <v> </v>
      </c>
      <c r="L173" s="31" t="str">
        <f>IF(K173=" "," ",($L$26-$D$3*$F$12)*((K173/$F$12)-($C$18/(PI()))*SIN((PI()*K173)/$F$12))+$D$3*K173)</f>
        <v> </v>
      </c>
      <c r="M173" s="31" t="str">
        <f t="shared" si="23"/>
        <v> </v>
      </c>
    </row>
    <row r="174" spans="1:13">
      <c r="A174" s="31" t="str">
        <f t="shared" si="16"/>
        <v> </v>
      </c>
      <c r="B174" s="31" t="str">
        <f>IF(A174=" "," ",($B$26-$B$3*($F$9))*((A174/($F$9))-($C$18/(PI()))*SIN((PI()*A174)/($F$9)))+$B$3*A174)</f>
        <v> </v>
      </c>
      <c r="C174" s="31" t="str">
        <f t="shared" si="20"/>
        <v> </v>
      </c>
      <c r="D174" s="31" t="str">
        <f t="shared" si="17"/>
        <v> </v>
      </c>
      <c r="E174" s="31" t="str">
        <f>IF(D174=" "," ",($E$26-$B$3*($F$8))*((D174/($F$8))-($C$18/(PI()))*SIN((PI()*D174)/($F$8)))+$B$3*D174)</f>
        <v> </v>
      </c>
      <c r="F174" s="31" t="str">
        <f t="shared" si="21"/>
        <v> </v>
      </c>
      <c r="G174" s="31"/>
      <c r="H174" s="31" t="str">
        <f t="shared" si="18"/>
        <v> </v>
      </c>
      <c r="I174" s="31" t="str">
        <f>IF(H174=" "," ",($I$26-$D$3*$F$13)*((H174/$F$13)-($C$18/(PI()))*SIN((PI()*H174)/$F$13))+$D$3*H174)</f>
        <v> </v>
      </c>
      <c r="J174" s="31" t="str">
        <f t="shared" si="22"/>
        <v> </v>
      </c>
      <c r="K174" s="31" t="str">
        <f t="shared" si="19"/>
        <v> </v>
      </c>
      <c r="L174" s="31" t="str">
        <f>IF(K174=" "," ",($L$26-$D$3*$F$12)*((K174/$F$12)-($C$18/(PI()))*SIN((PI()*K174)/$F$12))+$D$3*K174)</f>
        <v> </v>
      </c>
      <c r="M174" s="31" t="str">
        <f t="shared" si="23"/>
        <v> </v>
      </c>
    </row>
    <row r="175" spans="1:13">
      <c r="A175" s="31" t="str">
        <f t="shared" si="16"/>
        <v> </v>
      </c>
      <c r="B175" s="31" t="str">
        <f>IF(A175=" "," ",($B$26-$B$3*($F$9))*((A175/($F$9))-($C$18/(PI()))*SIN((PI()*A175)/($F$9)))+$B$3*A175)</f>
        <v> </v>
      </c>
      <c r="C175" s="31" t="str">
        <f t="shared" si="20"/>
        <v> </v>
      </c>
      <c r="D175" s="31" t="str">
        <f t="shared" si="17"/>
        <v> </v>
      </c>
      <c r="E175" s="31" t="str">
        <f>IF(D175=" "," ",($E$26-$B$3*($F$8))*((D175/($F$8))-($C$18/(PI()))*SIN((PI()*D175)/($F$8)))+$B$3*D175)</f>
        <v> </v>
      </c>
      <c r="F175" s="31" t="str">
        <f t="shared" si="21"/>
        <v> </v>
      </c>
      <c r="G175" s="31"/>
      <c r="H175" s="31" t="str">
        <f t="shared" si="18"/>
        <v> </v>
      </c>
      <c r="I175" s="31" t="str">
        <f>IF(H175=" "," ",($I$26-$D$3*$F$13)*((H175/$F$13)-($C$18/(PI()))*SIN((PI()*H175)/$F$13))+$D$3*H175)</f>
        <v> </v>
      </c>
      <c r="J175" s="31" t="str">
        <f t="shared" si="22"/>
        <v> </v>
      </c>
      <c r="K175" s="31" t="str">
        <f t="shared" si="19"/>
        <v> </v>
      </c>
      <c r="L175" s="31" t="str">
        <f>IF(K175=" "," ",($L$26-$D$3*$F$12)*((K175/$F$12)-($C$18/(PI()))*SIN((PI()*K175)/$F$12))+$D$3*K175)</f>
        <v> </v>
      </c>
      <c r="M175" s="31" t="str">
        <f t="shared" si="23"/>
        <v> </v>
      </c>
    </row>
    <row r="176" spans="1:13">
      <c r="A176" s="31" t="str">
        <f t="shared" si="16"/>
        <v> </v>
      </c>
      <c r="B176" s="31" t="str">
        <f>IF(A176=" "," ",($B$26-$B$3*($F$9))*((A176/($F$9))-($C$18/(PI()))*SIN((PI()*A176)/($F$9)))+$B$3*A176)</f>
        <v> </v>
      </c>
      <c r="C176" s="31" t="str">
        <f t="shared" si="20"/>
        <v> </v>
      </c>
      <c r="D176" s="31" t="str">
        <f t="shared" si="17"/>
        <v> </v>
      </c>
      <c r="E176" s="31" t="str">
        <f>IF(D176=" "," ",($E$26-$B$3*($F$8))*((D176/($F$8))-($C$18/(PI()))*SIN((PI()*D176)/($F$8)))+$B$3*D176)</f>
        <v> </v>
      </c>
      <c r="F176" s="31" t="str">
        <f t="shared" si="21"/>
        <v> </v>
      </c>
      <c r="G176" s="31"/>
      <c r="H176" s="31" t="str">
        <f t="shared" si="18"/>
        <v> </v>
      </c>
      <c r="I176" s="31" t="str">
        <f>IF(H176=" "," ",($I$26-$D$3*$F$13)*((H176/$F$13)-($C$18/(PI()))*SIN((PI()*H176)/$F$13))+$D$3*H176)</f>
        <v> </v>
      </c>
      <c r="J176" s="31" t="str">
        <f t="shared" si="22"/>
        <v> </v>
      </c>
      <c r="K176" s="31" t="str">
        <f t="shared" si="19"/>
        <v> </v>
      </c>
      <c r="L176" s="31" t="str">
        <f>IF(K176=" "," ",($L$26-$D$3*$F$12)*((K176/$F$12)-($C$18/(PI()))*SIN((PI()*K176)/$F$12))+$D$3*K176)</f>
        <v> </v>
      </c>
      <c r="M176" s="31" t="str">
        <f t="shared" si="23"/>
        <v> </v>
      </c>
    </row>
    <row r="177" spans="1:13">
      <c r="A177" s="31" t="str">
        <f t="shared" si="16"/>
        <v> </v>
      </c>
      <c r="B177" s="31" t="str">
        <f>IF(A177=" "," ",($B$26-$B$3*($F$9))*((A177/($F$9))-($C$18/(PI()))*SIN((PI()*A177)/($F$9)))+$B$3*A177)</f>
        <v> </v>
      </c>
      <c r="C177" s="31" t="str">
        <f t="shared" si="20"/>
        <v> </v>
      </c>
      <c r="D177" s="31" t="str">
        <f t="shared" si="17"/>
        <v> </v>
      </c>
      <c r="E177" s="31" t="str">
        <f>IF(D177=" "," ",($E$26-$B$3*($F$8))*((D177/($F$8))-($C$18/(PI()))*SIN((PI()*D177)/($F$8)))+$B$3*D177)</f>
        <v> </v>
      </c>
      <c r="F177" s="31" t="str">
        <f t="shared" si="21"/>
        <v> </v>
      </c>
      <c r="G177" s="31"/>
      <c r="H177" s="31" t="str">
        <f t="shared" si="18"/>
        <v> </v>
      </c>
      <c r="I177" s="31" t="str">
        <f>IF(H177=" "," ",($I$26-$D$3*$F$13)*((H177/$F$13)-($C$18/(PI()))*SIN((PI()*H177)/$F$13))+$D$3*H177)</f>
        <v> </v>
      </c>
      <c r="J177" s="31" t="str">
        <f t="shared" si="22"/>
        <v> </v>
      </c>
      <c r="K177" s="31" t="str">
        <f t="shared" si="19"/>
        <v> </v>
      </c>
      <c r="L177" s="31" t="str">
        <f>IF(K177=" "," ",($L$26-$D$3*$F$12)*((K177/$F$12)-($C$18/(PI()))*SIN((PI()*K177)/$F$12))+$D$3*K177)</f>
        <v> </v>
      </c>
      <c r="M177" s="31" t="str">
        <f t="shared" si="23"/>
        <v> </v>
      </c>
    </row>
    <row r="178" spans="1:13">
      <c r="A178" s="31" t="str">
        <f t="shared" si="16"/>
        <v> </v>
      </c>
      <c r="B178" s="31" t="str">
        <f>IF(A178=" "," ",($B$26-$B$3*($F$9))*((A178/($F$9))-($C$18/(PI()))*SIN((PI()*A178)/($F$9)))+$B$3*A178)</f>
        <v> </v>
      </c>
      <c r="C178" s="31" t="str">
        <f t="shared" si="20"/>
        <v> </v>
      </c>
      <c r="D178" s="31" t="str">
        <f t="shared" si="17"/>
        <v> </v>
      </c>
      <c r="E178" s="31" t="str">
        <f>IF(D178=" "," ",($E$26-$B$3*($F$8))*((D178/($F$8))-($C$18/(PI()))*SIN((PI()*D178)/($F$8)))+$B$3*D178)</f>
        <v> </v>
      </c>
      <c r="F178" s="31" t="str">
        <f t="shared" si="21"/>
        <v> </v>
      </c>
      <c r="G178" s="31"/>
      <c r="H178" s="31" t="str">
        <f t="shared" si="18"/>
        <v> </v>
      </c>
      <c r="I178" s="31" t="str">
        <f>IF(H178=" "," ",($I$26-$D$3*$F$13)*((H178/$F$13)-($C$18/(PI()))*SIN((PI()*H178)/$F$13))+$D$3*H178)</f>
        <v> </v>
      </c>
      <c r="J178" s="31" t="str">
        <f t="shared" si="22"/>
        <v> </v>
      </c>
      <c r="K178" s="31" t="str">
        <f t="shared" si="19"/>
        <v> </v>
      </c>
      <c r="L178" s="31" t="str">
        <f>IF(K178=" "," ",($L$26-$D$3*$F$12)*((K178/$F$12)-($C$18/(PI()))*SIN((PI()*K178)/$F$12))+$D$3*K178)</f>
        <v> </v>
      </c>
      <c r="M178" s="31" t="str">
        <f t="shared" si="23"/>
        <v> </v>
      </c>
    </row>
    <row r="179" spans="1:13">
      <c r="A179" s="31" t="str">
        <f t="shared" si="16"/>
        <v> </v>
      </c>
      <c r="B179" s="31" t="str">
        <f>IF(A179=" "," ",($B$26-$B$3*($F$9))*((A179/($F$9))-($C$18/(PI()))*SIN((PI()*A179)/($F$9)))+$B$3*A179)</f>
        <v> </v>
      </c>
      <c r="C179" s="31" t="str">
        <f t="shared" si="20"/>
        <v> </v>
      </c>
      <c r="D179" s="31" t="str">
        <f t="shared" si="17"/>
        <v> </v>
      </c>
      <c r="E179" s="31" t="str">
        <f>IF(D179=" "," ",($E$26-$B$3*($F$8))*((D179/($F$8))-($C$18/(PI()))*SIN((PI()*D179)/($F$8)))+$B$3*D179)</f>
        <v> </v>
      </c>
      <c r="F179" s="31" t="str">
        <f t="shared" si="21"/>
        <v> </v>
      </c>
      <c r="G179" s="31"/>
      <c r="H179" s="31" t="str">
        <f t="shared" si="18"/>
        <v> </v>
      </c>
      <c r="I179" s="31" t="str">
        <f>IF(H179=" "," ",($I$26-$D$3*$F$13)*((H179/$F$13)-($C$18/(PI()))*SIN((PI()*H179)/$F$13))+$D$3*H179)</f>
        <v> </v>
      </c>
      <c r="J179" s="31" t="str">
        <f t="shared" si="22"/>
        <v> </v>
      </c>
      <c r="K179" s="31" t="str">
        <f t="shared" si="19"/>
        <v> </v>
      </c>
      <c r="L179" s="31" t="str">
        <f>IF(K179=" "," ",($L$26-$D$3*$F$12)*((K179/$F$12)-($C$18/(PI()))*SIN((PI()*K179)/$F$12))+$D$3*K179)</f>
        <v> </v>
      </c>
      <c r="M179" s="31" t="str">
        <f t="shared" si="23"/>
        <v> </v>
      </c>
    </row>
    <row r="180" spans="1:13">
      <c r="A180" s="31" t="str">
        <f t="shared" si="16"/>
        <v> </v>
      </c>
      <c r="B180" s="31" t="str">
        <f>IF(A180=" "," ",($B$26-$B$3*($F$9))*((A180/($F$9))-($C$18/(PI()))*SIN((PI()*A180)/($F$9)))+$B$3*A180)</f>
        <v> </v>
      </c>
      <c r="C180" s="31" t="str">
        <f t="shared" si="20"/>
        <v> </v>
      </c>
      <c r="D180" s="31" t="str">
        <f t="shared" si="17"/>
        <v> </v>
      </c>
      <c r="E180" s="31" t="str">
        <f>IF(D180=" "," ",($E$26-$B$3*($F$8))*((D180/($F$8))-($C$18/(PI()))*SIN((PI()*D180)/($F$8)))+$B$3*D180)</f>
        <v> </v>
      </c>
      <c r="F180" s="31" t="str">
        <f t="shared" si="21"/>
        <v> </v>
      </c>
      <c r="G180" s="31"/>
      <c r="H180" s="31" t="str">
        <f t="shared" si="18"/>
        <v> </v>
      </c>
      <c r="I180" s="31" t="str">
        <f>IF(H180=" "," ",($I$26-$D$3*$F$13)*((H180/$F$13)-($C$18/(PI()))*SIN((PI()*H180)/$F$13))+$D$3*H180)</f>
        <v> </v>
      </c>
      <c r="J180" s="31" t="str">
        <f t="shared" si="22"/>
        <v> </v>
      </c>
      <c r="K180" s="31" t="str">
        <f t="shared" si="19"/>
        <v> </v>
      </c>
      <c r="L180" s="31" t="str">
        <f>IF(K180=" "," ",($L$26-$D$3*$F$12)*((K180/$F$12)-($C$18/(PI()))*SIN((PI()*K180)/$F$12))+$D$3*K180)</f>
        <v> </v>
      </c>
      <c r="M180" s="31" t="str">
        <f t="shared" si="23"/>
        <v> </v>
      </c>
    </row>
    <row r="181" spans="1:13">
      <c r="A181" s="31" t="str">
        <f t="shared" si="16"/>
        <v> </v>
      </c>
      <c r="B181" s="31" t="str">
        <f>IF(A181=" "," ",($B$26-$B$3*($F$9))*((A181/($F$9))-($C$18/(PI()))*SIN((PI()*A181)/($F$9)))+$B$3*A181)</f>
        <v> </v>
      </c>
      <c r="C181" s="31" t="str">
        <f t="shared" si="20"/>
        <v> </v>
      </c>
      <c r="D181" s="31" t="str">
        <f t="shared" si="17"/>
        <v> </v>
      </c>
      <c r="E181" s="31" t="str">
        <f>IF(D181=" "," ",($E$26-$B$3*($F$8))*((D181/($F$8))-($C$18/(PI()))*SIN((PI()*D181)/($F$8)))+$B$3*D181)</f>
        <v> </v>
      </c>
      <c r="F181" s="31" t="str">
        <f t="shared" si="21"/>
        <v> </v>
      </c>
      <c r="G181" s="31"/>
      <c r="H181" s="31" t="str">
        <f t="shared" si="18"/>
        <v> </v>
      </c>
      <c r="I181" s="31" t="str">
        <f>IF(H181=" "," ",($I$26-$D$3*$F$13)*((H181/$F$13)-($C$18/(PI()))*SIN((PI()*H181)/$F$13))+$D$3*H181)</f>
        <v> </v>
      </c>
      <c r="J181" s="31" t="str">
        <f t="shared" si="22"/>
        <v> </v>
      </c>
      <c r="K181" s="31" t="str">
        <f t="shared" si="19"/>
        <v> </v>
      </c>
      <c r="L181" s="31" t="str">
        <f>IF(K181=" "," ",($L$26-$D$3*$F$12)*((K181/$F$12)-($C$18/(PI()))*SIN((PI()*K181)/$F$12))+$D$3*K181)</f>
        <v> </v>
      </c>
      <c r="M181" s="31" t="str">
        <f t="shared" si="23"/>
        <v> </v>
      </c>
    </row>
    <row r="182" spans="1:13">
      <c r="A182" s="31" t="str">
        <f t="shared" si="16"/>
        <v> </v>
      </c>
      <c r="B182" s="31" t="str">
        <f>IF(A182=" "," ",($B$26-$B$3*($F$9))*((A182/($F$9))-($C$18/(PI()))*SIN((PI()*A182)/($F$9)))+$B$3*A182)</f>
        <v> </v>
      </c>
      <c r="C182" s="31" t="str">
        <f t="shared" si="20"/>
        <v> </v>
      </c>
      <c r="D182" s="31" t="str">
        <f t="shared" si="17"/>
        <v> </v>
      </c>
      <c r="E182" s="31" t="str">
        <f>IF(D182=" "," ",($E$26-$B$3*($F$8))*((D182/($F$8))-($C$18/(PI()))*SIN((PI()*D182)/($F$8)))+$B$3*D182)</f>
        <v> </v>
      </c>
      <c r="F182" s="31" t="str">
        <f t="shared" si="21"/>
        <v> </v>
      </c>
      <c r="G182" s="31"/>
      <c r="H182" s="31" t="str">
        <f t="shared" si="18"/>
        <v> </v>
      </c>
      <c r="I182" s="31" t="str">
        <f>IF(H182=" "," ",($I$26-$D$3*$F$13)*((H182/$F$13)-($C$18/(PI()))*SIN((PI()*H182)/$F$13))+$D$3*H182)</f>
        <v> </v>
      </c>
      <c r="J182" s="31" t="str">
        <f t="shared" si="22"/>
        <v> </v>
      </c>
      <c r="K182" s="31" t="str">
        <f t="shared" si="19"/>
        <v> </v>
      </c>
      <c r="L182" s="31" t="str">
        <f>IF(K182=" "," ",($L$26-$D$3*$F$12)*((K182/$F$12)-($C$18/(PI()))*SIN((PI()*K182)/$F$12))+$D$3*K182)</f>
        <v> </v>
      </c>
      <c r="M182" s="31" t="str">
        <f t="shared" si="23"/>
        <v> </v>
      </c>
    </row>
    <row r="183" spans="1:13">
      <c r="A183" s="31" t="str">
        <f t="shared" si="16"/>
        <v> </v>
      </c>
      <c r="B183" s="31" t="str">
        <f>IF(A183=" "," ",($B$26-$B$3*($F$9))*((A183/($F$9))-($C$18/(PI()))*SIN((PI()*A183)/($F$9)))+$B$3*A183)</f>
        <v> </v>
      </c>
      <c r="C183" s="31" t="str">
        <f t="shared" si="20"/>
        <v> </v>
      </c>
      <c r="D183" s="31" t="str">
        <f t="shared" si="17"/>
        <v> </v>
      </c>
      <c r="E183" s="31" t="str">
        <f>IF(D183=" "," ",($E$26-$B$3*($F$8))*((D183/($F$8))-($C$18/(PI()))*SIN((PI()*D183)/($F$8)))+$B$3*D183)</f>
        <v> </v>
      </c>
      <c r="F183" s="31" t="str">
        <f t="shared" si="21"/>
        <v> </v>
      </c>
      <c r="G183" s="31"/>
      <c r="H183" s="31" t="str">
        <f t="shared" si="18"/>
        <v> </v>
      </c>
      <c r="I183" s="31" t="str">
        <f>IF(H183=" "," ",($I$26-$D$3*$F$13)*((H183/$F$13)-($C$18/(PI()))*SIN((PI()*H183)/$F$13))+$D$3*H183)</f>
        <v> </v>
      </c>
      <c r="J183" s="31" t="str">
        <f t="shared" si="22"/>
        <v> </v>
      </c>
      <c r="K183" s="31" t="str">
        <f t="shared" si="19"/>
        <v> </v>
      </c>
      <c r="L183" s="31" t="str">
        <f>IF(K183=" "," ",($L$26-$D$3*$F$12)*((K183/$F$12)-($C$18/(PI()))*SIN((PI()*K183)/$F$12))+$D$3*K183)</f>
        <v> </v>
      </c>
      <c r="M183" s="31" t="str">
        <f t="shared" si="23"/>
        <v> </v>
      </c>
    </row>
    <row r="184" spans="1:13">
      <c r="A184" s="31" t="str">
        <f t="shared" si="16"/>
        <v> </v>
      </c>
      <c r="B184" s="31" t="str">
        <f>IF(A184=" "," ",($B$26-$B$3*($F$9))*((A184/($F$9))-($C$18/(PI()))*SIN((PI()*A184)/($F$9)))+$B$3*A184)</f>
        <v> </v>
      </c>
      <c r="C184" s="31" t="str">
        <f t="shared" si="20"/>
        <v> </v>
      </c>
      <c r="D184" s="31" t="str">
        <f t="shared" si="17"/>
        <v> </v>
      </c>
      <c r="E184" s="31" t="str">
        <f>IF(D184=" "," ",($E$26-$B$3*($F$8))*((D184/($F$8))-($C$18/(PI()))*SIN((PI()*D184)/($F$8)))+$B$3*D184)</f>
        <v> </v>
      </c>
      <c r="F184" s="31" t="str">
        <f t="shared" si="21"/>
        <v> </v>
      </c>
      <c r="G184" s="31"/>
      <c r="H184" s="31" t="str">
        <f t="shared" si="18"/>
        <v> </v>
      </c>
      <c r="I184" s="31" t="str">
        <f>IF(H184=" "," ",($I$26-$D$3*$F$13)*((H184/$F$13)-($C$18/(PI()))*SIN((PI()*H184)/$F$13))+$D$3*H184)</f>
        <v> </v>
      </c>
      <c r="J184" s="31" t="str">
        <f t="shared" si="22"/>
        <v> </v>
      </c>
      <c r="K184" s="31" t="str">
        <f t="shared" si="19"/>
        <v> </v>
      </c>
      <c r="L184" s="31" t="str">
        <f>IF(K184=" "," ",($L$26-$D$3*$F$12)*((K184/$F$12)-($C$18/(PI()))*SIN((PI()*K184)/$F$12))+$D$3*K184)</f>
        <v> </v>
      </c>
      <c r="M184" s="31" t="str">
        <f t="shared" si="23"/>
        <v> </v>
      </c>
    </row>
    <row r="185" spans="1:13">
      <c r="A185" s="31" t="str">
        <f t="shared" si="16"/>
        <v> </v>
      </c>
      <c r="B185" s="31" t="str">
        <f>IF(A185=" "," ",($B$26-$B$3*($F$9))*((A185/($F$9))-($C$18/(PI()))*SIN((PI()*A185)/($F$9)))+$B$3*A185)</f>
        <v> </v>
      </c>
      <c r="C185" s="31" t="str">
        <f t="shared" si="20"/>
        <v> </v>
      </c>
      <c r="D185" s="31" t="str">
        <f t="shared" si="17"/>
        <v> </v>
      </c>
      <c r="E185" s="31" t="str">
        <f>IF(D185=" "," ",($E$26-$B$3*($F$8))*((D185/($F$8))-($C$18/(PI()))*SIN((PI()*D185)/($F$8)))+$B$3*D185)</f>
        <v> </v>
      </c>
      <c r="F185" s="31" t="str">
        <f t="shared" si="21"/>
        <v> </v>
      </c>
      <c r="G185" s="31"/>
      <c r="H185" s="31" t="str">
        <f t="shared" si="18"/>
        <v> </v>
      </c>
      <c r="I185" s="31" t="str">
        <f>IF(H185=" "," ",($I$26-$D$3*$F$13)*((H185/$F$13)-($C$18/(PI()))*SIN((PI()*H185)/$F$13))+$D$3*H185)</f>
        <v> </v>
      </c>
      <c r="J185" s="31" t="str">
        <f t="shared" si="22"/>
        <v> </v>
      </c>
      <c r="K185" s="31" t="str">
        <f t="shared" si="19"/>
        <v> </v>
      </c>
      <c r="L185" s="31" t="str">
        <f>IF(K185=" "," ",($L$26-$D$3*$F$12)*((K185/$F$12)-($C$18/(PI()))*SIN((PI()*K185)/$F$12))+$D$3*K185)</f>
        <v> </v>
      </c>
      <c r="M185" s="31" t="str">
        <f t="shared" si="23"/>
        <v> </v>
      </c>
    </row>
    <row r="186" spans="1:13">
      <c r="A186" s="31" t="str">
        <f t="shared" si="16"/>
        <v> </v>
      </c>
      <c r="B186" s="31" t="str">
        <f>IF(A186=" "," ",($B$26-$B$3*($F$9))*((A186/($F$9))-($C$18/(PI()))*SIN((PI()*A186)/($F$9)))+$B$3*A186)</f>
        <v> </v>
      </c>
      <c r="C186" s="31" t="str">
        <f t="shared" si="20"/>
        <v> </v>
      </c>
      <c r="D186" s="31" t="str">
        <f t="shared" si="17"/>
        <v> </v>
      </c>
      <c r="E186" s="31" t="str">
        <f>IF(D186=" "," ",($E$26-$B$3*($F$8))*((D186/($F$8))-($C$18/(PI()))*SIN((PI()*D186)/($F$8)))+$B$3*D186)</f>
        <v> </v>
      </c>
      <c r="F186" s="31" t="str">
        <f t="shared" si="21"/>
        <v> </v>
      </c>
      <c r="G186" s="31"/>
      <c r="H186" s="31" t="str">
        <f t="shared" si="18"/>
        <v> </v>
      </c>
      <c r="I186" s="31" t="str">
        <f>IF(H186=" "," ",($I$26-$D$3*$F$13)*((H186/$F$13)-($C$18/(PI()))*SIN((PI()*H186)/$F$13))+$D$3*H186)</f>
        <v> </v>
      </c>
      <c r="J186" s="31" t="str">
        <f t="shared" si="22"/>
        <v> </v>
      </c>
      <c r="K186" s="31" t="str">
        <f t="shared" si="19"/>
        <v> </v>
      </c>
      <c r="L186" s="31" t="str">
        <f>IF(K186=" "," ",($L$26-$D$3*$F$12)*((K186/$F$12)-($C$18/(PI()))*SIN((PI()*K186)/$F$12))+$D$3*K186)</f>
        <v> </v>
      </c>
      <c r="M186" s="31" t="str">
        <f t="shared" si="23"/>
        <v> </v>
      </c>
    </row>
    <row r="187" spans="1:13">
      <c r="A187" s="31" t="str">
        <f t="shared" si="16"/>
        <v> </v>
      </c>
      <c r="B187" s="31" t="str">
        <f>IF(A187=" "," ",($B$26-$B$3*($F$9))*((A187/($F$9))-($C$18/(PI()))*SIN((PI()*A187)/($F$9)))+$B$3*A187)</f>
        <v> </v>
      </c>
      <c r="C187" s="31" t="str">
        <f t="shared" si="20"/>
        <v> </v>
      </c>
      <c r="D187" s="31" t="str">
        <f t="shared" si="17"/>
        <v> </v>
      </c>
      <c r="E187" s="31" t="str">
        <f>IF(D187=" "," ",($E$26-$B$3*($F$8))*((D187/($F$8))-($C$18/(PI()))*SIN((PI()*D187)/($F$8)))+$B$3*D187)</f>
        <v> </v>
      </c>
      <c r="F187" s="31" t="str">
        <f t="shared" si="21"/>
        <v> </v>
      </c>
      <c r="G187" s="31"/>
      <c r="H187" s="31" t="str">
        <f t="shared" si="18"/>
        <v> </v>
      </c>
      <c r="I187" s="31" t="str">
        <f>IF(H187=" "," ",($I$26-$D$3*$F$13)*((H187/$F$13)-($C$18/(PI()))*SIN((PI()*H187)/$F$13))+$D$3*H187)</f>
        <v> </v>
      </c>
      <c r="J187" s="31" t="str">
        <f t="shared" si="22"/>
        <v> </v>
      </c>
      <c r="K187" s="31" t="str">
        <f t="shared" si="19"/>
        <v> </v>
      </c>
      <c r="L187" s="31" t="str">
        <f>IF(K187=" "," ",($L$26-$D$3*$F$12)*((K187/$F$12)-($C$18/(PI()))*SIN((PI()*K187)/$F$12))+$D$3*K187)</f>
        <v> </v>
      </c>
      <c r="M187" s="31" t="str">
        <f t="shared" si="23"/>
        <v> </v>
      </c>
    </row>
    <row r="188" spans="1:13">
      <c r="A188" s="31" t="str">
        <f t="shared" si="16"/>
        <v> </v>
      </c>
      <c r="B188" s="31" t="str">
        <f>IF(A188=" "," ",($B$26-$B$3*($F$9))*((A188/($F$9))-($C$18/(PI()))*SIN((PI()*A188)/($F$9)))+$B$3*A188)</f>
        <v> </v>
      </c>
      <c r="C188" s="31" t="str">
        <f t="shared" si="20"/>
        <v> </v>
      </c>
      <c r="D188" s="31" t="str">
        <f t="shared" si="17"/>
        <v> </v>
      </c>
      <c r="E188" s="31" t="str">
        <f>IF(D188=" "," ",($E$26-$B$3*($F$8))*((D188/($F$8))-($C$18/(PI()))*SIN((PI()*D188)/($F$8)))+$B$3*D188)</f>
        <v> </v>
      </c>
      <c r="F188" s="31" t="str">
        <f t="shared" si="21"/>
        <v> </v>
      </c>
      <c r="G188" s="31"/>
      <c r="H188" s="31" t="str">
        <f t="shared" si="18"/>
        <v> </v>
      </c>
      <c r="I188" s="31" t="str">
        <f>IF(H188=" "," ",($I$26-$D$3*$F$13)*((H188/$F$13)-($C$18/(PI()))*SIN((PI()*H188)/$F$13))+$D$3*H188)</f>
        <v> </v>
      </c>
      <c r="J188" s="31" t="str">
        <f t="shared" si="22"/>
        <v> </v>
      </c>
      <c r="K188" s="31" t="str">
        <f t="shared" si="19"/>
        <v> </v>
      </c>
      <c r="L188" s="31" t="str">
        <f>IF(K188=" "," ",($L$26-$D$3*$F$12)*((K188/$F$12)-($C$18/(PI()))*SIN((PI()*K188)/$F$12))+$D$3*K188)</f>
        <v> </v>
      </c>
      <c r="M188" s="31" t="str">
        <f t="shared" si="23"/>
        <v> </v>
      </c>
    </row>
    <row r="189" spans="1:13">
      <c r="A189" s="31" t="str">
        <f t="shared" si="16"/>
        <v> </v>
      </c>
      <c r="B189" s="31" t="str">
        <f>IF(A189=" "," ",($B$26-$B$3*($F$9))*((A189/($F$9))-($C$18/(PI()))*SIN((PI()*A189)/($F$9)))+$B$3*A189)</f>
        <v> </v>
      </c>
      <c r="C189" s="31" t="str">
        <f t="shared" si="20"/>
        <v> </v>
      </c>
      <c r="D189" s="31" t="str">
        <f t="shared" si="17"/>
        <v> </v>
      </c>
      <c r="E189" s="31" t="str">
        <f>IF(D189=" "," ",($E$26-$B$3*($F$8))*((D189/($F$8))-($C$18/(PI()))*SIN((PI()*D189)/($F$8)))+$B$3*D189)</f>
        <v> </v>
      </c>
      <c r="F189" s="31" t="str">
        <f t="shared" si="21"/>
        <v> </v>
      </c>
      <c r="G189" s="31"/>
      <c r="H189" s="31" t="str">
        <f t="shared" si="18"/>
        <v> </v>
      </c>
      <c r="I189" s="31" t="str">
        <f>IF(H189=" "," ",($I$26-$D$3*$F$13)*((H189/$F$13)-($C$18/(PI()))*SIN((PI()*H189)/$F$13))+$D$3*H189)</f>
        <v> </v>
      </c>
      <c r="J189" s="31" t="str">
        <f t="shared" si="22"/>
        <v> </v>
      </c>
      <c r="K189" s="31" t="str">
        <f t="shared" si="19"/>
        <v> </v>
      </c>
      <c r="L189" s="31" t="str">
        <f>IF(K189=" "," ",($L$26-$D$3*$F$12)*((K189/$F$12)-($C$18/(PI()))*SIN((PI()*K189)/$F$12))+$D$3*K189)</f>
        <v> </v>
      </c>
      <c r="M189" s="31" t="str">
        <f t="shared" si="23"/>
        <v> </v>
      </c>
    </row>
    <row r="190" spans="1:13">
      <c r="A190" s="31" t="str">
        <f t="shared" si="16"/>
        <v> </v>
      </c>
      <c r="B190" s="31" t="str">
        <f>IF(A190=" "," ",($B$26-$B$3*($F$9))*((A190/($F$9))-($C$18/(PI()))*SIN((PI()*A190)/($F$9)))+$B$3*A190)</f>
        <v> </v>
      </c>
      <c r="C190" s="31" t="str">
        <f t="shared" si="20"/>
        <v> </v>
      </c>
      <c r="D190" s="31" t="str">
        <f t="shared" si="17"/>
        <v> </v>
      </c>
      <c r="E190" s="31" t="str">
        <f>IF(D190=" "," ",($E$26-$B$3*($F$8))*((D190/($F$8))-($C$18/(PI()))*SIN((PI()*D190)/($F$8)))+$B$3*D190)</f>
        <v> </v>
      </c>
      <c r="F190" s="31" t="str">
        <f t="shared" si="21"/>
        <v> </v>
      </c>
      <c r="G190" s="31"/>
      <c r="H190" s="31" t="str">
        <f t="shared" si="18"/>
        <v> </v>
      </c>
      <c r="I190" s="31" t="str">
        <f>IF(H190=" "," ",($I$26-$D$3*$F$13)*((H190/$F$13)-($C$18/(PI()))*SIN((PI()*H190)/$F$13))+$D$3*H190)</f>
        <v> </v>
      </c>
      <c r="J190" s="31" t="str">
        <f t="shared" si="22"/>
        <v> </v>
      </c>
      <c r="K190" s="31" t="str">
        <f t="shared" si="19"/>
        <v> </v>
      </c>
      <c r="L190" s="31" t="str">
        <f>IF(K190=" "," ",($L$26-$D$3*$F$12)*((K190/$F$12)-($C$18/(PI()))*SIN((PI()*K190)/$F$12))+$D$3*K190)</f>
        <v> </v>
      </c>
      <c r="M190" s="31" t="str">
        <f t="shared" si="23"/>
        <v> </v>
      </c>
    </row>
    <row r="191" spans="1:13">
      <c r="A191" s="31" t="str">
        <f t="shared" si="16"/>
        <v> </v>
      </c>
      <c r="B191" s="31" t="str">
        <f>IF(A191=" "," ",($B$26-$B$3*($F$9))*((A191/($F$9))-($C$18/(PI()))*SIN((PI()*A191)/($F$9)))+$B$3*A191)</f>
        <v> </v>
      </c>
      <c r="C191" s="31" t="str">
        <f t="shared" si="20"/>
        <v> </v>
      </c>
      <c r="D191" s="31" t="str">
        <f t="shared" si="17"/>
        <v> </v>
      </c>
      <c r="E191" s="31" t="str">
        <f>IF(D191=" "," ",($E$26-$B$3*($F$8))*((D191/($F$8))-($C$18/(PI()))*SIN((PI()*D191)/($F$8)))+$B$3*D191)</f>
        <v> </v>
      </c>
      <c r="F191" s="31" t="str">
        <f t="shared" si="21"/>
        <v> </v>
      </c>
      <c r="G191" s="31"/>
      <c r="H191" s="31" t="str">
        <f t="shared" si="18"/>
        <v> </v>
      </c>
      <c r="I191" s="31" t="str">
        <f>IF(H191=" "," ",($I$26-$D$3*$F$13)*((H191/$F$13)-($C$18/(PI()))*SIN((PI()*H191)/$F$13))+$D$3*H191)</f>
        <v> </v>
      </c>
      <c r="J191" s="31" t="str">
        <f t="shared" si="22"/>
        <v> </v>
      </c>
      <c r="K191" s="31" t="str">
        <f t="shared" si="19"/>
        <v> </v>
      </c>
      <c r="L191" s="31" t="str">
        <f>IF(K191=" "," ",($L$26-$D$3*$F$12)*((K191/$F$12)-($C$18/(PI()))*SIN((PI()*K191)/$F$12))+$D$3*K191)</f>
        <v> </v>
      </c>
      <c r="M191" s="31" t="str">
        <f t="shared" si="23"/>
        <v> </v>
      </c>
    </row>
    <row r="192" spans="1:13">
      <c r="A192" s="31" t="str">
        <f t="shared" si="16"/>
        <v> </v>
      </c>
      <c r="B192" s="31" t="str">
        <f>IF(A192=" "," ",($B$26-$B$3*($F$9))*((A192/($F$9))-($C$18/(PI()))*SIN((PI()*A192)/($F$9)))+$B$3*A192)</f>
        <v> </v>
      </c>
      <c r="C192" s="31" t="str">
        <f t="shared" si="20"/>
        <v> </v>
      </c>
      <c r="D192" s="31" t="str">
        <f t="shared" si="17"/>
        <v> </v>
      </c>
      <c r="E192" s="31" t="str">
        <f>IF(D192=" "," ",($E$26-$B$3*($F$8))*((D192/($F$8))-($C$18/(PI()))*SIN((PI()*D192)/($F$8)))+$B$3*D192)</f>
        <v> </v>
      </c>
      <c r="F192" s="31" t="str">
        <f t="shared" si="21"/>
        <v> </v>
      </c>
      <c r="G192" s="31"/>
      <c r="H192" s="31" t="str">
        <f t="shared" si="18"/>
        <v> </v>
      </c>
      <c r="I192" s="31" t="str">
        <f>IF(H192=" "," ",($I$26-$D$3*$F$13)*((H192/$F$13)-($C$18/(PI()))*SIN((PI()*H192)/$F$13))+$D$3*H192)</f>
        <v> </v>
      </c>
      <c r="J192" s="31" t="str">
        <f t="shared" si="22"/>
        <v> </v>
      </c>
      <c r="K192" s="31" t="str">
        <f t="shared" si="19"/>
        <v> </v>
      </c>
      <c r="L192" s="31" t="str">
        <f>IF(K192=" "," ",($L$26-$D$3*$F$12)*((K192/$F$12)-($C$18/(PI()))*SIN((PI()*K192)/$F$12))+$D$3*K192)</f>
        <v> </v>
      </c>
      <c r="M192" s="31" t="str">
        <f t="shared" si="23"/>
        <v> </v>
      </c>
    </row>
    <row r="193" spans="1:13">
      <c r="A193" s="31" t="str">
        <f t="shared" si="16"/>
        <v> </v>
      </c>
      <c r="B193" s="31" t="str">
        <f>IF(A193=" "," ",($B$26-$B$3*($F$9))*((A193/($F$9))-($C$18/(PI()))*SIN((PI()*A193)/($F$9)))+$B$3*A193)</f>
        <v> </v>
      </c>
      <c r="C193" s="31" t="str">
        <f t="shared" si="20"/>
        <v> </v>
      </c>
      <c r="D193" s="31" t="str">
        <f t="shared" si="17"/>
        <v> </v>
      </c>
      <c r="E193" s="31" t="str">
        <f>IF(D193=" "," ",($E$26-$B$3*($F$8))*((D193/($F$8))-($C$18/(PI()))*SIN((PI()*D193)/($F$8)))+$B$3*D193)</f>
        <v> </v>
      </c>
      <c r="F193" s="31" t="str">
        <f t="shared" si="21"/>
        <v> </v>
      </c>
      <c r="G193" s="31"/>
      <c r="H193" s="31" t="str">
        <f t="shared" si="18"/>
        <v> </v>
      </c>
      <c r="I193" s="31" t="str">
        <f>IF(H193=" "," ",($I$26-$D$3*$F$13)*((H193/$F$13)-($C$18/(PI()))*SIN((PI()*H193)/$F$13))+$D$3*H193)</f>
        <v> </v>
      </c>
      <c r="J193" s="31" t="str">
        <f t="shared" si="22"/>
        <v> </v>
      </c>
      <c r="K193" s="31" t="str">
        <f t="shared" si="19"/>
        <v> </v>
      </c>
      <c r="L193" s="31" t="str">
        <f>IF(K193=" "," ",($L$26-$D$3*$F$12)*((K193/$F$12)-($C$18/(PI()))*SIN((PI()*K193)/$F$12))+$D$3*K193)</f>
        <v> </v>
      </c>
      <c r="M193" s="31" t="str">
        <f t="shared" si="23"/>
        <v> </v>
      </c>
    </row>
    <row r="194" spans="1:13">
      <c r="A194" s="31" t="str">
        <f t="shared" si="16"/>
        <v> </v>
      </c>
      <c r="B194" s="31" t="str">
        <f>IF(A194=" "," ",($B$26-$B$3*($F$9))*((A194/($F$9))-($C$18/(PI()))*SIN((PI()*A194)/($F$9)))+$B$3*A194)</f>
        <v> </v>
      </c>
      <c r="C194" s="31" t="str">
        <f t="shared" si="20"/>
        <v> </v>
      </c>
      <c r="D194" s="31" t="str">
        <f t="shared" si="17"/>
        <v> </v>
      </c>
      <c r="E194" s="31" t="str">
        <f>IF(D194=" "," ",($E$26-$B$3*($F$8))*((D194/($F$8))-($C$18/(PI()))*SIN((PI()*D194)/($F$8)))+$B$3*D194)</f>
        <v> </v>
      </c>
      <c r="F194" s="31" t="str">
        <f t="shared" si="21"/>
        <v> </v>
      </c>
      <c r="G194" s="31"/>
      <c r="H194" s="31" t="str">
        <f t="shared" si="18"/>
        <v> </v>
      </c>
      <c r="I194" s="31" t="str">
        <f>IF(H194=" "," ",($I$26-$D$3*$F$13)*((H194/$F$13)-($C$18/(PI()))*SIN((PI()*H194)/$F$13))+$D$3*H194)</f>
        <v> </v>
      </c>
      <c r="J194" s="31" t="str">
        <f t="shared" si="22"/>
        <v> </v>
      </c>
      <c r="K194" s="31" t="str">
        <f t="shared" si="19"/>
        <v> </v>
      </c>
      <c r="L194" s="31" t="str">
        <f>IF(K194=" "," ",($L$26-$D$3*$F$12)*((K194/$F$12)-($C$18/(PI()))*SIN((PI()*K194)/$F$12))+$D$3*K194)</f>
        <v> </v>
      </c>
      <c r="M194" s="31" t="str">
        <f t="shared" si="23"/>
        <v> </v>
      </c>
    </row>
    <row r="195" spans="1:13">
      <c r="A195" s="31" t="str">
        <f t="shared" si="16"/>
        <v> </v>
      </c>
      <c r="B195" s="31" t="str">
        <f>IF(A195=" "," ",($B$26-$B$3*($F$9))*((A195/($F$9))-($C$18/(PI()))*SIN((PI()*A195)/($F$9)))+$B$3*A195)</f>
        <v> </v>
      </c>
      <c r="C195" s="31" t="str">
        <f t="shared" si="20"/>
        <v> </v>
      </c>
      <c r="D195" s="31" t="str">
        <f t="shared" si="17"/>
        <v> </v>
      </c>
      <c r="E195" s="31" t="str">
        <f>IF(D195=" "," ",($E$26-$B$3*($F$8))*((D195/($F$8))-($C$18/(PI()))*SIN((PI()*D195)/($F$8)))+$B$3*D195)</f>
        <v> </v>
      </c>
      <c r="F195" s="31" t="str">
        <f t="shared" si="21"/>
        <v> </v>
      </c>
      <c r="G195" s="31"/>
      <c r="H195" s="31" t="str">
        <f t="shared" si="18"/>
        <v> </v>
      </c>
      <c r="I195" s="31" t="str">
        <f>IF(H195=" "," ",($I$26-$D$3*$F$13)*((H195/$F$13)-($C$18/(PI()))*SIN((PI()*H195)/$F$13))+$D$3*H195)</f>
        <v> </v>
      </c>
      <c r="J195" s="31" t="str">
        <f t="shared" si="22"/>
        <v> </v>
      </c>
      <c r="K195" s="31" t="str">
        <f t="shared" si="19"/>
        <v> </v>
      </c>
      <c r="L195" s="31" t="str">
        <f>IF(K195=" "," ",($L$26-$D$3*$F$12)*((K195/$F$12)-($C$18/(PI()))*SIN((PI()*K195)/$F$12))+$D$3*K195)</f>
        <v> </v>
      </c>
      <c r="M195" s="31" t="str">
        <f t="shared" si="23"/>
        <v> </v>
      </c>
    </row>
    <row r="196" spans="1:13">
      <c r="A196" s="31" t="str">
        <f t="shared" si="16"/>
        <v> </v>
      </c>
      <c r="B196" s="31" t="str">
        <f>IF(A196=" "," ",($B$26-$B$3*($F$9))*((A196/($F$9))-($C$18/(PI()))*SIN((PI()*A196)/($F$9)))+$B$3*A196)</f>
        <v> </v>
      </c>
      <c r="C196" s="31" t="str">
        <f t="shared" si="20"/>
        <v> </v>
      </c>
      <c r="D196" s="31" t="str">
        <f t="shared" si="17"/>
        <v> </v>
      </c>
      <c r="E196" s="31" t="str">
        <f>IF(D196=" "," ",($E$26-$B$3*($F$8))*((D196/($F$8))-($C$18/(PI()))*SIN((PI()*D196)/($F$8)))+$B$3*D196)</f>
        <v> </v>
      </c>
      <c r="F196" s="31" t="str">
        <f t="shared" si="21"/>
        <v> </v>
      </c>
      <c r="G196" s="31"/>
      <c r="H196" s="31" t="str">
        <f t="shared" si="18"/>
        <v> </v>
      </c>
      <c r="I196" s="31" t="str">
        <f>IF(H196=" "," ",($I$26-$D$3*$F$13)*((H196/$F$13)-($C$18/(PI()))*SIN((PI()*H196)/$F$13))+$D$3*H196)</f>
        <v> </v>
      </c>
      <c r="J196" s="31" t="str">
        <f t="shared" si="22"/>
        <v> </v>
      </c>
      <c r="K196" s="31" t="str">
        <f t="shared" si="19"/>
        <v> </v>
      </c>
      <c r="L196" s="31" t="str">
        <f>IF(K196=" "," ",($L$26-$D$3*$F$12)*((K196/$F$12)-($C$18/(PI()))*SIN((PI()*K196)/$F$12))+$D$3*K196)</f>
        <v> </v>
      </c>
      <c r="M196" s="31" t="str">
        <f t="shared" si="23"/>
        <v> </v>
      </c>
    </row>
    <row r="197" spans="1:13">
      <c r="A197" s="31" t="str">
        <f t="shared" si="16"/>
        <v> </v>
      </c>
      <c r="B197" s="31" t="str">
        <f>IF(A197=" "," ",($B$26-$B$3*($F$9))*((A197/($F$9))-($C$18/(PI()))*SIN((PI()*A197)/($F$9)))+$B$3*A197)</f>
        <v> </v>
      </c>
      <c r="C197" s="31" t="str">
        <f t="shared" si="20"/>
        <v> </v>
      </c>
      <c r="D197" s="31" t="str">
        <f t="shared" si="17"/>
        <v> </v>
      </c>
      <c r="E197" s="31" t="str">
        <f>IF(D197=" "," ",($E$26-$B$3*($F$8))*((D197/($F$8))-($C$18/(PI()))*SIN((PI()*D197)/($F$8)))+$B$3*D197)</f>
        <v> </v>
      </c>
      <c r="F197" s="31" t="str">
        <f t="shared" si="21"/>
        <v> </v>
      </c>
      <c r="G197" s="31"/>
      <c r="H197" s="31" t="str">
        <f t="shared" si="18"/>
        <v> </v>
      </c>
      <c r="I197" s="31" t="str">
        <f>IF(H197=" "," ",($I$26-$D$3*$F$13)*((H197/$F$13)-($C$18/(PI()))*SIN((PI()*H197)/$F$13))+$D$3*H197)</f>
        <v> </v>
      </c>
      <c r="J197" s="31" t="str">
        <f t="shared" si="22"/>
        <v> </v>
      </c>
      <c r="K197" s="31" t="str">
        <f t="shared" si="19"/>
        <v> </v>
      </c>
      <c r="L197" s="31" t="str">
        <f>IF(K197=" "," ",($L$26-$D$3*$F$12)*((K197/$F$12)-($C$18/(PI()))*SIN((PI()*K197)/$F$12))+$D$3*K197)</f>
        <v> </v>
      </c>
      <c r="M197" s="31" t="str">
        <f t="shared" si="23"/>
        <v> </v>
      </c>
    </row>
    <row r="198" spans="1:13">
      <c r="A198" s="31" t="str">
        <f t="shared" si="16"/>
        <v> </v>
      </c>
      <c r="B198" s="31" t="str">
        <f>IF(A198=" "," ",($B$26-$B$3*($F$9))*((A198/($F$9))-($C$18/(PI()))*SIN((PI()*A198)/($F$9)))+$B$3*A198)</f>
        <v> </v>
      </c>
      <c r="C198" s="31" t="str">
        <f t="shared" si="20"/>
        <v> </v>
      </c>
      <c r="D198" s="31" t="str">
        <f t="shared" si="17"/>
        <v> </v>
      </c>
      <c r="E198" s="31" t="str">
        <f>IF(D198=" "," ",($E$26-$B$3*($F$8))*((D198/($F$8))-($C$18/(PI()))*SIN((PI()*D198)/($F$8)))+$B$3*D198)</f>
        <v> </v>
      </c>
      <c r="F198" s="31" t="str">
        <f t="shared" si="21"/>
        <v> </v>
      </c>
      <c r="G198" s="31"/>
      <c r="H198" s="31" t="str">
        <f t="shared" si="18"/>
        <v> </v>
      </c>
      <c r="I198" s="31" t="str">
        <f>IF(H198=" "," ",($I$26-$D$3*$F$13)*((H198/$F$13)-($C$18/(PI()))*SIN((PI()*H198)/$F$13))+$D$3*H198)</f>
        <v> </v>
      </c>
      <c r="J198" s="31" t="str">
        <f t="shared" si="22"/>
        <v> </v>
      </c>
      <c r="K198" s="31" t="str">
        <f t="shared" si="19"/>
        <v> </v>
      </c>
      <c r="L198" s="31" t="str">
        <f>IF(K198=" "," ",($L$26-$D$3*$F$12)*((K198/$F$12)-($C$18/(PI()))*SIN((PI()*K198)/$F$12))+$D$3*K198)</f>
        <v> </v>
      </c>
      <c r="M198" s="31" t="str">
        <f t="shared" si="23"/>
        <v> </v>
      </c>
    </row>
    <row r="199" spans="1:13">
      <c r="A199" s="31" t="str">
        <f t="shared" si="16"/>
        <v> </v>
      </c>
      <c r="B199" s="31" t="str">
        <f>IF(A199=" "," ",($B$26-$B$3*($F$9))*((A199/($F$9))-($C$18/(PI()))*SIN((PI()*A199)/($F$9)))+$B$3*A199)</f>
        <v> </v>
      </c>
      <c r="C199" s="31" t="str">
        <f t="shared" si="20"/>
        <v> </v>
      </c>
      <c r="D199" s="31" t="str">
        <f t="shared" si="17"/>
        <v> </v>
      </c>
      <c r="E199" s="31" t="str">
        <f>IF(D199=" "," ",($E$26-$B$3*($F$8))*((D199/($F$8))-($C$18/(PI()))*SIN((PI()*D199)/($F$8)))+$B$3*D199)</f>
        <v> </v>
      </c>
      <c r="F199" s="31" t="str">
        <f t="shared" si="21"/>
        <v> </v>
      </c>
      <c r="G199" s="31"/>
      <c r="H199" s="31" t="str">
        <f t="shared" si="18"/>
        <v> </v>
      </c>
      <c r="I199" s="31" t="str">
        <f>IF(H199=" "," ",($I$26-$D$3*$F$13)*((H199/$F$13)-($C$18/(PI()))*SIN((PI()*H199)/$F$13))+$D$3*H199)</f>
        <v> </v>
      </c>
      <c r="J199" s="31" t="str">
        <f t="shared" si="22"/>
        <v> </v>
      </c>
      <c r="K199" s="31" t="str">
        <f t="shared" si="19"/>
        <v> </v>
      </c>
      <c r="L199" s="31" t="str">
        <f>IF(K199=" "," ",($L$26-$D$3*$F$12)*((K199/$F$12)-($C$18/(PI()))*SIN((PI()*K199)/$F$12))+$D$3*K199)</f>
        <v> </v>
      </c>
      <c r="M199" s="31" t="str">
        <f t="shared" si="23"/>
        <v> </v>
      </c>
    </row>
    <row r="200" spans="1:13">
      <c r="A200" s="31" t="str">
        <f t="shared" si="16"/>
        <v> </v>
      </c>
      <c r="B200" s="31" t="str">
        <f>IF(A200=" "," ",($B$26-$B$3*($F$9))*((A200/($F$9))-($C$18/(PI()))*SIN((PI()*A200)/($F$9)))+$B$3*A200)</f>
        <v> </v>
      </c>
      <c r="C200" s="31" t="str">
        <f t="shared" si="20"/>
        <v> </v>
      </c>
      <c r="D200" s="31" t="str">
        <f t="shared" si="17"/>
        <v> </v>
      </c>
      <c r="E200" s="31" t="str">
        <f>IF(D200=" "," ",($E$26-$B$3*($F$8))*((D200/($F$8))-($C$18/(PI()))*SIN((PI()*D200)/($F$8)))+$B$3*D200)</f>
        <v> </v>
      </c>
      <c r="F200" s="31" t="str">
        <f t="shared" si="21"/>
        <v> </v>
      </c>
      <c r="G200" s="31"/>
      <c r="H200" s="31" t="str">
        <f t="shared" si="18"/>
        <v> </v>
      </c>
      <c r="I200" s="31" t="str">
        <f>IF(H200=" "," ",($I$26-$D$3*$F$13)*((H200/$F$13)-($C$18/(PI()))*SIN((PI()*H200)/$F$13))+$D$3*H200)</f>
        <v> </v>
      </c>
      <c r="J200" s="31" t="str">
        <f t="shared" si="22"/>
        <v> </v>
      </c>
      <c r="K200" s="31" t="str">
        <f t="shared" si="19"/>
        <v> </v>
      </c>
      <c r="L200" s="31" t="str">
        <f>IF(K200=" "," ",($L$26-$D$3*$F$12)*((K200/$F$12)-($C$18/(PI()))*SIN((PI()*K200)/$F$12))+$D$3*K200)</f>
        <v> </v>
      </c>
      <c r="M200" s="31" t="str">
        <f t="shared" si="23"/>
        <v> </v>
      </c>
    </row>
    <row r="201" spans="1:13">
      <c r="A201" s="31" t="str">
        <f t="shared" si="16"/>
        <v> </v>
      </c>
      <c r="B201" s="31" t="str">
        <f>IF(A201=" "," ",($B$26-$B$3*($F$9))*((A201/($F$9))-($C$18/(PI()))*SIN((PI()*A201)/($F$9)))+$B$3*A201)</f>
        <v> </v>
      </c>
      <c r="C201" s="31" t="str">
        <f t="shared" si="20"/>
        <v> </v>
      </c>
      <c r="D201" s="31" t="str">
        <f t="shared" si="17"/>
        <v> </v>
      </c>
      <c r="E201" s="31" t="str">
        <f>IF(D201=" "," ",($E$26-$B$3*($F$8))*((D201/($F$8))-($C$18/(PI()))*SIN((PI()*D201)/($F$8)))+$B$3*D201)</f>
        <v> </v>
      </c>
      <c r="F201" s="31" t="str">
        <f t="shared" si="21"/>
        <v> </v>
      </c>
      <c r="G201" s="31"/>
      <c r="H201" s="31" t="str">
        <f t="shared" si="18"/>
        <v> </v>
      </c>
      <c r="I201" s="31" t="str">
        <f>IF(H201=" "," ",($I$26-$D$3*$F$13)*((H201/$F$13)-($C$18/(PI()))*SIN((PI()*H201)/$F$13))+$D$3*H201)</f>
        <v> </v>
      </c>
      <c r="J201" s="31" t="str">
        <f t="shared" si="22"/>
        <v> </v>
      </c>
      <c r="K201" s="31" t="str">
        <f t="shared" si="19"/>
        <v> </v>
      </c>
      <c r="L201" s="31" t="str">
        <f>IF(K201=" "," ",($L$26-$D$3*$F$12)*((K201/$F$12)-($C$18/(PI()))*SIN((PI()*K201)/$F$12))+$D$3*K201)</f>
        <v> </v>
      </c>
      <c r="M201" s="31" t="str">
        <f t="shared" si="23"/>
        <v> </v>
      </c>
    </row>
    <row r="202" spans="1:13">
      <c r="A202" s="31" t="str">
        <f t="shared" si="16"/>
        <v> </v>
      </c>
      <c r="B202" s="31" t="str">
        <f>IF(A202=" "," ",($B$26-$B$3*($F$9))*((A202/($F$9))-($C$18/(PI()))*SIN((PI()*A202)/($F$9)))+$B$3*A202)</f>
        <v> </v>
      </c>
      <c r="C202" s="31" t="str">
        <f t="shared" si="20"/>
        <v> </v>
      </c>
      <c r="D202" s="31" t="str">
        <f t="shared" si="17"/>
        <v> </v>
      </c>
      <c r="E202" s="31" t="str">
        <f>IF(D202=" "," ",($E$26-$B$3*($F$8))*((D202/($F$8))-($C$18/(PI()))*SIN((PI()*D202)/($F$8)))+$B$3*D202)</f>
        <v> </v>
      </c>
      <c r="F202" s="31" t="str">
        <f t="shared" si="21"/>
        <v> </v>
      </c>
      <c r="G202" s="31"/>
      <c r="H202" s="31" t="str">
        <f t="shared" si="18"/>
        <v> </v>
      </c>
      <c r="I202" s="31" t="str">
        <f>IF(H202=" "," ",($I$26-$D$3*$F$13)*((H202/$F$13)-($C$18/(PI()))*SIN((PI()*H202)/$F$13))+$D$3*H202)</f>
        <v> </v>
      </c>
      <c r="J202" s="31" t="str">
        <f t="shared" si="22"/>
        <v> </v>
      </c>
      <c r="K202" s="31" t="str">
        <f t="shared" si="19"/>
        <v> </v>
      </c>
      <c r="L202" s="31" t="str">
        <f>IF(K202=" "," ",($L$26-$D$3*$F$12)*((K202/$F$12)-($C$18/(PI()))*SIN((PI()*K202)/$F$12))+$D$3*K202)</f>
        <v> </v>
      </c>
      <c r="M202" s="31" t="str">
        <f t="shared" si="23"/>
        <v> </v>
      </c>
    </row>
    <row r="203" spans="1:13">
      <c r="A203" s="31" t="str">
        <f t="shared" si="16"/>
        <v> </v>
      </c>
      <c r="B203" s="31" t="str">
        <f>IF(A203=" "," ",($B$26-$B$3*($F$9))*((A203/($F$9))-($C$18/(PI()))*SIN((PI()*A203)/($F$9)))+$B$3*A203)</f>
        <v> </v>
      </c>
      <c r="C203" s="31" t="str">
        <f t="shared" si="20"/>
        <v> </v>
      </c>
      <c r="D203" s="31" t="str">
        <f t="shared" si="17"/>
        <v> </v>
      </c>
      <c r="E203" s="31" t="str">
        <f>IF(D203=" "," ",($E$26-$B$3*($F$8))*((D203/($F$8))-($C$18/(PI()))*SIN((PI()*D203)/($F$8)))+$B$3*D203)</f>
        <v> </v>
      </c>
      <c r="F203" s="31" t="str">
        <f t="shared" si="21"/>
        <v> </v>
      </c>
      <c r="G203" s="31"/>
      <c r="H203" s="31" t="str">
        <f t="shared" si="18"/>
        <v> </v>
      </c>
      <c r="I203" s="31" t="str">
        <f>IF(H203=" "," ",($I$26-$D$3*$F$13)*((H203/$F$13)-($C$18/(PI()))*SIN((PI()*H203)/$F$13))+$D$3*H203)</f>
        <v> </v>
      </c>
      <c r="J203" s="31" t="str">
        <f t="shared" si="22"/>
        <v> </v>
      </c>
      <c r="K203" s="31" t="str">
        <f t="shared" si="19"/>
        <v> </v>
      </c>
      <c r="L203" s="31" t="str">
        <f>IF(K203=" "," ",($L$26-$D$3*$F$12)*((K203/$F$12)-($C$18/(PI()))*SIN((PI()*K203)/$F$12))+$D$3*K203)</f>
        <v> </v>
      </c>
      <c r="M203" s="31" t="str">
        <f t="shared" si="23"/>
        <v> </v>
      </c>
    </row>
    <row r="204" spans="1:13">
      <c r="A204" s="31" t="str">
        <f t="shared" si="16"/>
        <v> </v>
      </c>
      <c r="B204" s="31" t="str">
        <f>IF(A204=" "," ",($B$26-$B$3*($F$9))*((A204/($F$9))-($C$18/(PI()))*SIN((PI()*A204)/($F$9)))+$B$3*A204)</f>
        <v> </v>
      </c>
      <c r="C204" s="31" t="str">
        <f t="shared" si="20"/>
        <v> </v>
      </c>
      <c r="D204" s="31" t="str">
        <f t="shared" si="17"/>
        <v> </v>
      </c>
      <c r="E204" s="31" t="str">
        <f>IF(D204=" "," ",($E$26-$B$3*($F$8))*((D204/($F$8))-($C$18/(PI()))*SIN((PI()*D204)/($F$8)))+$B$3*D204)</f>
        <v> </v>
      </c>
      <c r="F204" s="31" t="str">
        <f t="shared" si="21"/>
        <v> </v>
      </c>
      <c r="G204" s="31"/>
      <c r="H204" s="31" t="str">
        <f t="shared" si="18"/>
        <v> </v>
      </c>
      <c r="I204" s="31" t="str">
        <f>IF(H204=" "," ",($I$26-$D$3*$F$13)*((H204/$F$13)-($C$18/(PI()))*SIN((PI()*H204)/$F$13))+$D$3*H204)</f>
        <v> </v>
      </c>
      <c r="J204" s="31" t="str">
        <f t="shared" si="22"/>
        <v> </v>
      </c>
      <c r="K204" s="31" t="str">
        <f t="shared" si="19"/>
        <v> </v>
      </c>
      <c r="L204" s="31" t="str">
        <f>IF(K204=" "," ",($L$26-$D$3*$F$12)*((K204/$F$12)-($C$18/(PI()))*SIN((PI()*K204)/$F$12))+$D$3*K204)</f>
        <v> </v>
      </c>
      <c r="M204" s="31" t="str">
        <f t="shared" si="23"/>
        <v> </v>
      </c>
    </row>
    <row r="205" spans="1:13">
      <c r="A205" s="31" t="str">
        <f t="shared" si="16"/>
        <v> </v>
      </c>
      <c r="B205" s="31" t="str">
        <f>IF(A205=" "," ",($B$26-$B$3*($F$9))*((A205/($F$9))-($C$18/(PI()))*SIN((PI()*A205)/($F$9)))+$B$3*A205)</f>
        <v> </v>
      </c>
      <c r="C205" s="31" t="str">
        <f t="shared" si="20"/>
        <v> </v>
      </c>
      <c r="D205" s="31" t="str">
        <f t="shared" si="17"/>
        <v> </v>
      </c>
      <c r="E205" s="31" t="str">
        <f>IF(D205=" "," ",($E$26-$B$3*($F$8))*((D205/($F$8))-($C$18/(PI()))*SIN((PI()*D205)/($F$8)))+$B$3*D205)</f>
        <v> </v>
      </c>
      <c r="F205" s="31" t="str">
        <f t="shared" si="21"/>
        <v> </v>
      </c>
      <c r="G205" s="31"/>
      <c r="H205" s="31" t="str">
        <f t="shared" si="18"/>
        <v> </v>
      </c>
      <c r="I205" s="31" t="str">
        <f>IF(H205=" "," ",($I$26-$D$3*$F$13)*((H205/$F$13)-($C$18/(PI()))*SIN((PI()*H205)/$F$13))+$D$3*H205)</f>
        <v> </v>
      </c>
      <c r="J205" s="31" t="str">
        <f t="shared" si="22"/>
        <v> </v>
      </c>
      <c r="K205" s="31" t="str">
        <f t="shared" si="19"/>
        <v> </v>
      </c>
      <c r="L205" s="31" t="str">
        <f>IF(K205=" "," ",($L$26-$D$3*$F$12)*((K205/$F$12)-($C$18/(PI()))*SIN((PI()*K205)/$F$12))+$D$3*K205)</f>
        <v> </v>
      </c>
      <c r="M205" s="31" t="str">
        <f t="shared" si="23"/>
        <v> </v>
      </c>
    </row>
    <row r="206" spans="1:13">
      <c r="A206" s="31" t="str">
        <f t="shared" si="16"/>
        <v> </v>
      </c>
      <c r="B206" s="31" t="str">
        <f>IF(A206=" "," ",($B$26-$B$3*($F$9))*((A206/($F$9))-($C$18/(PI()))*SIN((PI()*A206)/($F$9)))+$B$3*A206)</f>
        <v> </v>
      </c>
      <c r="C206" s="31" t="str">
        <f t="shared" si="20"/>
        <v> </v>
      </c>
      <c r="D206" s="31" t="str">
        <f t="shared" si="17"/>
        <v> </v>
      </c>
      <c r="E206" s="31" t="str">
        <f>IF(D206=" "," ",($E$26-$B$3*($F$8))*((D206/($F$8))-($C$18/(PI()))*SIN((PI()*D206)/($F$8)))+$B$3*D206)</f>
        <v> </v>
      </c>
      <c r="F206" s="31" t="str">
        <f t="shared" si="21"/>
        <v> </v>
      </c>
      <c r="G206" s="31"/>
      <c r="H206" s="31" t="str">
        <f t="shared" si="18"/>
        <v> </v>
      </c>
      <c r="I206" s="31" t="str">
        <f>IF(H206=" "," ",($I$26-$D$3*$F$13)*((H206/$F$13)-($C$18/(PI()))*SIN((PI()*H206)/$F$13))+$D$3*H206)</f>
        <v> </v>
      </c>
      <c r="J206" s="31" t="str">
        <f t="shared" si="22"/>
        <v> </v>
      </c>
      <c r="K206" s="31" t="str">
        <f t="shared" si="19"/>
        <v> </v>
      </c>
      <c r="L206" s="31" t="str">
        <f>IF(K206=" "," ",($L$26-$D$3*$F$12)*((K206/$F$12)-($C$18/(PI()))*SIN((PI()*K206)/$F$12))+$D$3*K206)</f>
        <v> </v>
      </c>
      <c r="M206" s="31" t="str">
        <f t="shared" si="23"/>
        <v> </v>
      </c>
    </row>
    <row r="207" spans="1:13">
      <c r="A207" s="31" t="str">
        <f t="shared" si="16"/>
        <v> </v>
      </c>
      <c r="B207" s="31" t="str">
        <f>IF(A207=" "," ",($B$26-$B$3*($F$9))*((A207/($F$9))-($C$18/(PI()))*SIN((PI()*A207)/($F$9)))+$B$3*A207)</f>
        <v> </v>
      </c>
      <c r="C207" s="31" t="str">
        <f t="shared" si="20"/>
        <v> </v>
      </c>
      <c r="D207" s="31" t="str">
        <f t="shared" si="17"/>
        <v> </v>
      </c>
      <c r="E207" s="31" t="str">
        <f>IF(D207=" "," ",($E$26-$B$3*($F$8))*((D207/($F$8))-($C$18/(PI()))*SIN((PI()*D207)/($F$8)))+$B$3*D207)</f>
        <v> </v>
      </c>
      <c r="F207" s="31" t="str">
        <f t="shared" si="21"/>
        <v> </v>
      </c>
      <c r="G207" s="31"/>
      <c r="H207" s="31" t="str">
        <f t="shared" si="18"/>
        <v> </v>
      </c>
      <c r="I207" s="31" t="str">
        <f>IF(H207=" "," ",($I$26-$D$3*$F$13)*((H207/$F$13)-($C$18/(PI()))*SIN((PI()*H207)/$F$13))+$D$3*H207)</f>
        <v> </v>
      </c>
      <c r="J207" s="31" t="str">
        <f t="shared" si="22"/>
        <v> </v>
      </c>
      <c r="K207" s="31" t="str">
        <f t="shared" si="19"/>
        <v> </v>
      </c>
      <c r="L207" s="31" t="str">
        <f>IF(K207=" "," ",($L$26-$D$3*$F$12)*((K207/$F$12)-($C$18/(PI()))*SIN((PI()*K207)/$F$12))+$D$3*K207)</f>
        <v> </v>
      </c>
      <c r="M207" s="31" t="str">
        <f t="shared" si="23"/>
        <v> </v>
      </c>
    </row>
    <row r="208" spans="1:13">
      <c r="A208" s="31" t="str">
        <f t="shared" si="16"/>
        <v> </v>
      </c>
      <c r="B208" s="31" t="str">
        <f>IF(A208=" "," ",($B$26-$B$3*($F$9))*((A208/($F$9))-($C$18/(PI()))*SIN((PI()*A208)/($F$9)))+$B$3*A208)</f>
        <v> </v>
      </c>
      <c r="C208" s="31" t="str">
        <f t="shared" si="20"/>
        <v> </v>
      </c>
      <c r="D208" s="31" t="str">
        <f t="shared" si="17"/>
        <v> </v>
      </c>
      <c r="E208" s="31" t="str">
        <f>IF(D208=" "," ",($E$26-$B$3*($F$8))*((D208/($F$8))-($C$18/(PI()))*SIN((PI()*D208)/($F$8)))+$B$3*D208)</f>
        <v> </v>
      </c>
      <c r="F208" s="31" t="str">
        <f t="shared" si="21"/>
        <v> </v>
      </c>
      <c r="G208" s="31"/>
      <c r="H208" s="31" t="str">
        <f t="shared" si="18"/>
        <v> </v>
      </c>
      <c r="I208" s="31" t="str">
        <f>IF(H208=" "," ",($I$26-$D$3*$F$13)*((H208/$F$13)-($C$18/(PI()))*SIN((PI()*H208)/$F$13))+$D$3*H208)</f>
        <v> </v>
      </c>
      <c r="J208" s="31" t="str">
        <f t="shared" si="22"/>
        <v> </v>
      </c>
      <c r="K208" s="31" t="str">
        <f t="shared" si="19"/>
        <v> </v>
      </c>
      <c r="L208" s="31" t="str">
        <f>IF(K208=" "," ",($L$26-$D$3*$F$12)*((K208/$F$12)-($C$18/(PI()))*SIN((PI()*K208)/$F$12))+$D$3*K208)</f>
        <v> </v>
      </c>
      <c r="M208" s="31" t="str">
        <f t="shared" si="23"/>
        <v> </v>
      </c>
    </row>
    <row r="209" spans="1:13">
      <c r="A209" s="31" t="str">
        <f t="shared" si="16"/>
        <v> </v>
      </c>
      <c r="B209" s="31" t="str">
        <f>IF(A209=" "," ",($B$26-$B$3*($F$9))*((A209/($F$9))-($C$18/(PI()))*SIN((PI()*A209)/($F$9)))+$B$3*A209)</f>
        <v> </v>
      </c>
      <c r="C209" s="31" t="str">
        <f t="shared" si="20"/>
        <v> </v>
      </c>
      <c r="D209" s="31" t="str">
        <f t="shared" si="17"/>
        <v> </v>
      </c>
      <c r="E209" s="31" t="str">
        <f>IF(D209=" "," ",($E$26-$B$3*($F$8))*((D209/($F$8))-($C$18/(PI()))*SIN((PI()*D209)/($F$8)))+$B$3*D209)</f>
        <v> </v>
      </c>
      <c r="F209" s="31" t="str">
        <f t="shared" si="21"/>
        <v> </v>
      </c>
      <c r="G209" s="31"/>
      <c r="H209" s="31" t="str">
        <f t="shared" si="18"/>
        <v> </v>
      </c>
      <c r="I209" s="31" t="str">
        <f>IF(H209=" "," ",($I$26-$D$3*$F$13)*((H209/$F$13)-($C$18/(PI()))*SIN((PI()*H209)/$F$13))+$D$3*H209)</f>
        <v> </v>
      </c>
      <c r="J209" s="31" t="str">
        <f t="shared" si="22"/>
        <v> </v>
      </c>
      <c r="K209" s="31" t="str">
        <f t="shared" si="19"/>
        <v> </v>
      </c>
      <c r="L209" s="31" t="str">
        <f>IF(K209=" "," ",($L$26-$D$3*$F$12)*((K209/$F$12)-($C$18/(PI()))*SIN((PI()*K209)/$F$12))+$D$3*K209)</f>
        <v> </v>
      </c>
      <c r="M209" s="31" t="str">
        <f t="shared" si="23"/>
        <v> </v>
      </c>
    </row>
    <row r="210" spans="1:13">
      <c r="A210" s="31" t="str">
        <f t="shared" si="16"/>
        <v> </v>
      </c>
      <c r="B210" s="31" t="str">
        <f>IF(A210=" "," ",($B$26-$B$3*($F$9))*((A210/($F$9))-($C$18/(PI()))*SIN((PI()*A210)/($F$9)))+$B$3*A210)</f>
        <v> </v>
      </c>
      <c r="C210" s="31" t="str">
        <f t="shared" si="20"/>
        <v> </v>
      </c>
      <c r="D210" s="31" t="str">
        <f t="shared" si="17"/>
        <v> </v>
      </c>
      <c r="E210" s="31" t="str">
        <f>IF(D210=" "," ",($E$26-$B$3*($F$8))*((D210/($F$8))-($C$18/(PI()))*SIN((PI()*D210)/($F$8)))+$B$3*D210)</f>
        <v> </v>
      </c>
      <c r="F210" s="31" t="str">
        <f t="shared" si="21"/>
        <v> </v>
      </c>
      <c r="G210" s="31"/>
      <c r="H210" s="31" t="str">
        <f t="shared" si="18"/>
        <v> </v>
      </c>
      <c r="I210" s="31" t="str">
        <f>IF(H210=" "," ",($I$26-$D$3*$F$13)*((H210/$F$13)-($C$18/(PI()))*SIN((PI()*H210)/$F$13))+$D$3*H210)</f>
        <v> </v>
      </c>
      <c r="J210" s="31" t="str">
        <f t="shared" si="22"/>
        <v> </v>
      </c>
      <c r="K210" s="31" t="str">
        <f t="shared" si="19"/>
        <v> </v>
      </c>
      <c r="L210" s="31" t="str">
        <f>IF(K210=" "," ",($L$26-$D$3*$F$12)*((K210/$F$12)-($C$18/(PI()))*SIN((PI()*K210)/$F$12))+$D$3*K210)</f>
        <v> </v>
      </c>
      <c r="M210" s="31" t="str">
        <f t="shared" si="23"/>
        <v> </v>
      </c>
    </row>
    <row r="211" spans="1:13">
      <c r="A211" s="31" t="str">
        <f t="shared" si="16"/>
        <v> </v>
      </c>
      <c r="B211" s="31" t="str">
        <f>IF(A211=" "," ",($B$26-$B$3*($F$9))*((A211/($F$9))-($C$18/(PI()))*SIN((PI()*A211)/($F$9)))+$B$3*A211)</f>
        <v> </v>
      </c>
      <c r="C211" s="31" t="str">
        <f t="shared" si="20"/>
        <v> </v>
      </c>
      <c r="D211" s="31" t="str">
        <f t="shared" si="17"/>
        <v> </v>
      </c>
      <c r="E211" s="31" t="str">
        <f>IF(D211=" "," ",($E$26-$B$3*($F$8))*((D211/($F$8))-($C$18/(PI()))*SIN((PI()*D211)/($F$8)))+$B$3*D211)</f>
        <v> </v>
      </c>
      <c r="F211" s="31" t="str">
        <f t="shared" si="21"/>
        <v> </v>
      </c>
      <c r="G211" s="31"/>
      <c r="H211" s="31" t="str">
        <f t="shared" si="18"/>
        <v> </v>
      </c>
      <c r="I211" s="31" t="str">
        <f>IF(H211=" "," ",($I$26-$D$3*$F$13)*((H211/$F$13)-($C$18/(PI()))*SIN((PI()*H211)/$F$13))+$D$3*H211)</f>
        <v> </v>
      </c>
      <c r="J211" s="31" t="str">
        <f t="shared" si="22"/>
        <v> </v>
      </c>
      <c r="K211" s="31" t="str">
        <f t="shared" si="19"/>
        <v> </v>
      </c>
      <c r="L211" s="31" t="str">
        <f>IF(K211=" "," ",($L$26-$D$3*$F$12)*((K211/$F$12)-($C$18/(PI()))*SIN((PI()*K211)/$F$12))+$D$3*K211)</f>
        <v> </v>
      </c>
      <c r="M211" s="31" t="str">
        <f t="shared" si="23"/>
        <v> </v>
      </c>
    </row>
    <row r="212" spans="1:13">
      <c r="A212" s="31" t="str">
        <f t="shared" si="16"/>
        <v> </v>
      </c>
      <c r="B212" s="31" t="str">
        <f>IF(A212=" "," ",($B$26-$B$3*($F$9))*((A212/($F$9))-($C$18/(PI()))*SIN((PI()*A212)/($F$9)))+$B$3*A212)</f>
        <v> </v>
      </c>
      <c r="C212" s="31" t="str">
        <f t="shared" si="20"/>
        <v> </v>
      </c>
      <c r="D212" s="31" t="str">
        <f t="shared" si="17"/>
        <v> </v>
      </c>
      <c r="E212" s="31" t="str">
        <f>IF(D212=" "," ",($E$26-$B$3*($F$8))*((D212/($F$8))-($C$18/(PI()))*SIN((PI()*D212)/($F$8)))+$B$3*D212)</f>
        <v> </v>
      </c>
      <c r="F212" s="31" t="str">
        <f t="shared" si="21"/>
        <v> </v>
      </c>
      <c r="G212" s="31"/>
      <c r="H212" s="31" t="str">
        <f t="shared" si="18"/>
        <v> </v>
      </c>
      <c r="I212" s="31" t="str">
        <f>IF(H212=" "," ",($I$26-$D$3*$F$13)*((H212/$F$13)-($C$18/(PI()))*SIN((PI()*H212)/$F$13))+$D$3*H212)</f>
        <v> </v>
      </c>
      <c r="J212" s="31" t="str">
        <f t="shared" si="22"/>
        <v> </v>
      </c>
      <c r="K212" s="31" t="str">
        <f t="shared" si="19"/>
        <v> </v>
      </c>
      <c r="L212" s="31" t="str">
        <f>IF(K212=" "," ",($L$26-$D$3*$F$12)*((K212/$F$12)-($C$18/(PI()))*SIN((PI()*K212)/$F$12))+$D$3*K212)</f>
        <v> </v>
      </c>
      <c r="M212" s="31" t="str">
        <f t="shared" si="23"/>
        <v> </v>
      </c>
    </row>
    <row r="213" spans="1:13">
      <c r="A213" s="31" t="str">
        <f t="shared" si="16"/>
        <v> </v>
      </c>
      <c r="B213" s="31" t="str">
        <f>IF(A213=" "," ",($B$26-$B$3*($F$9))*((A213/($F$9))-($C$18/(PI()))*SIN((PI()*A213)/($F$9)))+$B$3*A213)</f>
        <v> </v>
      </c>
      <c r="C213" s="31" t="str">
        <f t="shared" si="20"/>
        <v> </v>
      </c>
      <c r="D213" s="31" t="str">
        <f t="shared" si="17"/>
        <v> </v>
      </c>
      <c r="E213" s="31" t="str">
        <f>IF(D213=" "," ",($E$26-$B$3*($F$8))*((D213/($F$8))-($C$18/(PI()))*SIN((PI()*D213)/($F$8)))+$B$3*D213)</f>
        <v> </v>
      </c>
      <c r="F213" s="31" t="str">
        <f t="shared" si="21"/>
        <v> </v>
      </c>
      <c r="G213" s="31"/>
      <c r="H213" s="31" t="str">
        <f t="shared" si="18"/>
        <v> </v>
      </c>
      <c r="I213" s="31" t="str">
        <f>IF(H213=" "," ",($I$26-$D$3*$F$13)*((H213/$F$13)-($C$18/(PI()))*SIN((PI()*H213)/$F$13))+$D$3*H213)</f>
        <v> </v>
      </c>
      <c r="J213" s="31" t="str">
        <f t="shared" si="22"/>
        <v> </v>
      </c>
      <c r="K213" s="31" t="str">
        <f t="shared" si="19"/>
        <v> </v>
      </c>
      <c r="L213" s="31" t="str">
        <f>IF(K213=" "," ",($L$26-$D$3*$F$12)*((K213/$F$12)-($C$18/(PI()))*SIN((PI()*K213)/$F$12))+$D$3*K213)</f>
        <v> </v>
      </c>
      <c r="M213" s="31" t="str">
        <f t="shared" si="23"/>
        <v> </v>
      </c>
    </row>
    <row r="214" spans="1:13">
      <c r="A214" s="31" t="str">
        <f t="shared" si="16"/>
        <v> </v>
      </c>
      <c r="B214" s="31" t="str">
        <f>IF(A214=" "," ",($B$26-$B$3*($F$9))*((A214/($F$9))-($C$18/(PI()))*SIN((PI()*A214)/($F$9)))+$B$3*A214)</f>
        <v> </v>
      </c>
      <c r="C214" s="31" t="str">
        <f t="shared" si="20"/>
        <v> </v>
      </c>
      <c r="D214" s="31" t="str">
        <f t="shared" si="17"/>
        <v> </v>
      </c>
      <c r="E214" s="31" t="str">
        <f>IF(D214=" "," ",($E$26-$B$3*($F$8))*((D214/($F$8))-($C$18/(PI()))*SIN((PI()*D214)/($F$8)))+$B$3*D214)</f>
        <v> </v>
      </c>
      <c r="F214" s="31" t="str">
        <f t="shared" si="21"/>
        <v> </v>
      </c>
      <c r="G214" s="31"/>
      <c r="H214" s="31" t="str">
        <f t="shared" si="18"/>
        <v> </v>
      </c>
      <c r="I214" s="31" t="str">
        <f>IF(H214=" "," ",($I$26-$D$3*$F$13)*((H214/$F$13)-($C$18/(PI()))*SIN((PI()*H214)/$F$13))+$D$3*H214)</f>
        <v> </v>
      </c>
      <c r="J214" s="31" t="str">
        <f t="shared" si="22"/>
        <v> </v>
      </c>
      <c r="K214" s="31" t="str">
        <f t="shared" si="19"/>
        <v> </v>
      </c>
      <c r="L214" s="31" t="str">
        <f>IF(K214=" "," ",($L$26-$D$3*$F$12)*((K214/$F$12)-($C$18/(PI()))*SIN((PI()*K214)/$F$12))+$D$3*K214)</f>
        <v> </v>
      </c>
      <c r="M214" s="31" t="str">
        <f t="shared" si="23"/>
        <v> </v>
      </c>
    </row>
    <row r="215" spans="1:13">
      <c r="A215" s="31" t="str">
        <f t="shared" si="16"/>
        <v> </v>
      </c>
      <c r="B215" s="31" t="str">
        <f>IF(A215=" "," ",($B$26-$B$3*($F$9))*((A215/($F$9))-($C$18/(PI()))*SIN((PI()*A215)/($F$9)))+$B$3*A215)</f>
        <v> </v>
      </c>
      <c r="C215" s="31" t="str">
        <f t="shared" si="20"/>
        <v> </v>
      </c>
      <c r="D215" s="31" t="str">
        <f t="shared" si="17"/>
        <v> </v>
      </c>
      <c r="E215" s="31" t="str">
        <f>IF(D215=" "," ",($E$26-$B$3*($F$8))*((D215/($F$8))-($C$18/(PI()))*SIN((PI()*D215)/($F$8)))+$B$3*D215)</f>
        <v> </v>
      </c>
      <c r="F215" s="31" t="str">
        <f t="shared" si="21"/>
        <v> </v>
      </c>
      <c r="G215" s="31"/>
      <c r="H215" s="31" t="str">
        <f t="shared" si="18"/>
        <v> </v>
      </c>
      <c r="I215" s="31" t="str">
        <f>IF(H215=" "," ",($I$26-$D$3*$F$13)*((H215/$F$13)-($C$18/(PI()))*SIN((PI()*H215)/$F$13))+$D$3*H215)</f>
        <v> </v>
      </c>
      <c r="J215" s="31" t="str">
        <f t="shared" si="22"/>
        <v> </v>
      </c>
      <c r="K215" s="31" t="str">
        <f t="shared" si="19"/>
        <v> </v>
      </c>
      <c r="L215" s="31" t="str">
        <f>IF(K215=" "," ",($L$26-$D$3*$F$12)*((K215/$F$12)-($C$18/(PI()))*SIN((PI()*K215)/$F$12))+$D$3*K215)</f>
        <v> </v>
      </c>
      <c r="M215" s="31" t="str">
        <f t="shared" si="23"/>
        <v> </v>
      </c>
    </row>
    <row r="216" spans="1:13">
      <c r="A216" s="31" t="str">
        <f t="shared" si="16"/>
        <v> </v>
      </c>
      <c r="B216" s="31" t="str">
        <f>IF(A216=" "," ",($B$26-$B$3*($F$9))*((A216/($F$9))-($C$18/(PI()))*SIN((PI()*A216)/($F$9)))+$B$3*A216)</f>
        <v> </v>
      </c>
      <c r="C216" s="31" t="str">
        <f t="shared" si="20"/>
        <v> </v>
      </c>
      <c r="D216" s="31" t="str">
        <f t="shared" si="17"/>
        <v> </v>
      </c>
      <c r="E216" s="31" t="str">
        <f>IF(D216=" "," ",($E$26-$B$3*($F$8))*((D216/($F$8))-($C$18/(PI()))*SIN((PI()*D216)/($F$8)))+$B$3*D216)</f>
        <v> </v>
      </c>
      <c r="F216" s="31" t="str">
        <f t="shared" si="21"/>
        <v> </v>
      </c>
      <c r="G216" s="31"/>
      <c r="H216" s="31" t="str">
        <f t="shared" si="18"/>
        <v> </v>
      </c>
      <c r="I216" s="31" t="str">
        <f>IF(H216=" "," ",($I$26-$D$3*$F$13)*((H216/$F$13)-($C$18/(PI()))*SIN((PI()*H216)/$F$13))+$D$3*H216)</f>
        <v> </v>
      </c>
      <c r="J216" s="31" t="str">
        <f t="shared" si="22"/>
        <v> </v>
      </c>
      <c r="K216" s="31" t="str">
        <f t="shared" si="19"/>
        <v> </v>
      </c>
      <c r="L216" s="31" t="str">
        <f>IF(K216=" "," ",($L$26-$D$3*$F$12)*((K216/$F$12)-($C$18/(PI()))*SIN((PI()*K216)/$F$12))+$D$3*K216)</f>
        <v> </v>
      </c>
      <c r="M216" s="31" t="str">
        <f t="shared" si="23"/>
        <v> </v>
      </c>
    </row>
    <row r="217" spans="1:13">
      <c r="A217" s="31" t="str">
        <f t="shared" si="16"/>
        <v> </v>
      </c>
      <c r="B217" s="31" t="str">
        <f>IF(A217=" "," ",($B$26-$B$3*($F$9))*((A217/($F$9))-($C$18/(PI()))*SIN((PI()*A217)/($F$9)))+$B$3*A217)</f>
        <v> </v>
      </c>
      <c r="C217" s="31" t="str">
        <f t="shared" si="20"/>
        <v> </v>
      </c>
      <c r="D217" s="31" t="str">
        <f t="shared" si="17"/>
        <v> </v>
      </c>
      <c r="E217" s="31" t="str">
        <f>IF(D217=" "," ",($E$26-$B$3*($F$8))*((D217/($F$8))-($C$18/(PI()))*SIN((PI()*D217)/($F$8)))+$B$3*D217)</f>
        <v> </v>
      </c>
      <c r="F217" s="31" t="str">
        <f t="shared" si="21"/>
        <v> </v>
      </c>
      <c r="G217" s="31"/>
      <c r="H217" s="31" t="str">
        <f t="shared" si="18"/>
        <v> </v>
      </c>
      <c r="I217" s="31" t="str">
        <f>IF(H217=" "," ",($I$26-$D$3*$F$13)*((H217/$F$13)-($C$18/(PI()))*SIN((PI()*H217)/$F$13))+$D$3*H217)</f>
        <v> </v>
      </c>
      <c r="J217" s="31" t="str">
        <f t="shared" si="22"/>
        <v> </v>
      </c>
      <c r="K217" s="31" t="str">
        <f t="shared" si="19"/>
        <v> </v>
      </c>
      <c r="L217" s="31" t="str">
        <f>IF(K217=" "," ",($L$26-$D$3*$F$12)*((K217/$F$12)-($C$18/(PI()))*SIN((PI()*K217)/$F$12))+$D$3*K217)</f>
        <v> </v>
      </c>
      <c r="M217" s="31" t="str">
        <f t="shared" si="23"/>
        <v> </v>
      </c>
    </row>
    <row r="218" spans="1:13">
      <c r="A218" s="31" t="str">
        <f t="shared" si="16"/>
        <v> </v>
      </c>
      <c r="B218" s="31" t="str">
        <f>IF(A218=" "," ",($B$26-$B$3*($F$9))*((A218/($F$9))-($C$18/(PI()))*SIN((PI()*A218)/($F$9)))+$B$3*A218)</f>
        <v> </v>
      </c>
      <c r="C218" s="31" t="str">
        <f t="shared" si="20"/>
        <v> </v>
      </c>
      <c r="D218" s="31" t="str">
        <f t="shared" si="17"/>
        <v> </v>
      </c>
      <c r="E218" s="31" t="str">
        <f>IF(D218=" "," ",($E$26-$B$3*($F$8))*((D218/($F$8))-($C$18/(PI()))*SIN((PI()*D218)/($F$8)))+$B$3*D218)</f>
        <v> </v>
      </c>
      <c r="F218" s="31" t="str">
        <f t="shared" si="21"/>
        <v> </v>
      </c>
      <c r="G218" s="31"/>
      <c r="H218" s="31" t="str">
        <f t="shared" si="18"/>
        <v> </v>
      </c>
      <c r="I218" s="31" t="str">
        <f>IF(H218=" "," ",($I$26-$D$3*$F$13)*((H218/$F$13)-($C$18/(PI()))*SIN((PI()*H218)/$F$13))+$D$3*H218)</f>
        <v> </v>
      </c>
      <c r="J218" s="31" t="str">
        <f t="shared" si="22"/>
        <v> </v>
      </c>
      <c r="K218" s="31" t="str">
        <f t="shared" si="19"/>
        <v> </v>
      </c>
      <c r="L218" s="31" t="str">
        <f>IF(K218=" "," ",($L$26-$D$3*$F$12)*((K218/$F$12)-($C$18/(PI()))*SIN((PI()*K218)/$F$12))+$D$3*K218)</f>
        <v> </v>
      </c>
      <c r="M218" s="31" t="str">
        <f t="shared" si="23"/>
        <v> </v>
      </c>
    </row>
    <row r="219" spans="1:13">
      <c r="A219" s="31" t="str">
        <f t="shared" si="16"/>
        <v> </v>
      </c>
      <c r="B219" s="31" t="str">
        <f>IF(A219=" "," ",($B$26-$B$3*($F$9))*((A219/($F$9))-($C$18/(PI()))*SIN((PI()*A219)/($F$9)))+$B$3*A219)</f>
        <v> </v>
      </c>
      <c r="C219" s="31" t="str">
        <f t="shared" si="20"/>
        <v> </v>
      </c>
      <c r="D219" s="31" t="str">
        <f t="shared" si="17"/>
        <v> </v>
      </c>
      <c r="E219" s="31" t="str">
        <f>IF(D219=" "," ",($E$26-$B$3*($F$8))*((D219/($F$8))-($C$18/(PI()))*SIN((PI()*D219)/($F$8)))+$B$3*D219)</f>
        <v> </v>
      </c>
      <c r="F219" s="31" t="str">
        <f t="shared" si="21"/>
        <v> </v>
      </c>
      <c r="G219" s="31"/>
      <c r="H219" s="31" t="str">
        <f t="shared" si="18"/>
        <v> </v>
      </c>
      <c r="I219" s="31" t="str">
        <f>IF(H219=" "," ",($I$26-$D$3*$F$13)*((H219/$F$13)-($C$18/(PI()))*SIN((PI()*H219)/$F$13))+$D$3*H219)</f>
        <v> </v>
      </c>
      <c r="J219" s="31" t="str">
        <f t="shared" si="22"/>
        <v> </v>
      </c>
      <c r="K219" s="31" t="str">
        <f t="shared" si="19"/>
        <v> </v>
      </c>
      <c r="L219" s="31" t="str">
        <f>IF(K219=" "," ",($L$26-$D$3*$F$12)*((K219/$F$12)-($C$18/(PI()))*SIN((PI()*K219)/$F$12))+$D$3*K219)</f>
        <v> </v>
      </c>
      <c r="M219" s="31" t="str">
        <f t="shared" si="23"/>
        <v> </v>
      </c>
    </row>
    <row r="220" spans="1:13">
      <c r="A220" s="31" t="str">
        <f t="shared" si="16"/>
        <v> </v>
      </c>
      <c r="B220" s="31" t="str">
        <f>IF(A220=" "," ",($B$26-$B$3*($F$9))*((A220/($F$9))-($C$18/(PI()))*SIN((PI()*A220)/($F$9)))+$B$3*A220)</f>
        <v> </v>
      </c>
      <c r="C220" s="31" t="str">
        <f t="shared" si="20"/>
        <v> </v>
      </c>
      <c r="D220" s="31" t="str">
        <f t="shared" si="17"/>
        <v> </v>
      </c>
      <c r="E220" s="31" t="str">
        <f>IF(D220=" "," ",($E$26-$B$3*($F$8))*((D220/($F$8))-($C$18/(PI()))*SIN((PI()*D220)/($F$8)))+$B$3*D220)</f>
        <v> </v>
      </c>
      <c r="F220" s="31" t="str">
        <f t="shared" si="21"/>
        <v> </v>
      </c>
      <c r="G220" s="31"/>
      <c r="H220" s="31" t="str">
        <f t="shared" si="18"/>
        <v> </v>
      </c>
      <c r="I220" s="31" t="str">
        <f>IF(H220=" "," ",($I$26-$D$3*$F$13)*((H220/$F$13)-($C$18/(PI()))*SIN((PI()*H220)/$F$13))+$D$3*H220)</f>
        <v> </v>
      </c>
      <c r="J220" s="31" t="str">
        <f t="shared" si="22"/>
        <v> </v>
      </c>
      <c r="K220" s="31" t="str">
        <f t="shared" si="19"/>
        <v> </v>
      </c>
      <c r="L220" s="31" t="str">
        <f>IF(K220=" "," ",($L$26-$D$3*$F$12)*((K220/$F$12)-($C$18/(PI()))*SIN((PI()*K220)/$F$12))+$D$3*K220)</f>
        <v> </v>
      </c>
      <c r="M220" s="31" t="str">
        <f t="shared" si="23"/>
        <v> </v>
      </c>
    </row>
    <row r="221" spans="1:13">
      <c r="A221" s="31" t="str">
        <f t="shared" ref="A221:A284" si="24">IF(($F$9)-ROW(A193)&gt;=0,($F$9)-(($F$9)-ROW(A193))," ")</f>
        <v> </v>
      </c>
      <c r="B221" s="31" t="str">
        <f>IF(A221=" "," ",($B$26-$B$3*($F$9))*((A221/($F$9))-($C$18/(PI()))*SIN((PI()*A221)/($F$9)))+$B$3*A221)</f>
        <v> </v>
      </c>
      <c r="C221" s="31" t="str">
        <f t="shared" si="20"/>
        <v> </v>
      </c>
      <c r="D221" s="31" t="str">
        <f t="shared" ref="D221:D284" si="25">IF(($F$8)-ROW(D193)&gt;=0,($F$8)-(($F$8)-ROW(D193))," ")</f>
        <v> </v>
      </c>
      <c r="E221" s="31" t="str">
        <f>IF(D221=" "," ",($E$26-$B$3*($F$8))*((D221/($F$8))-($C$18/(PI()))*SIN((PI()*D221)/($F$8)))+$B$3*D221)</f>
        <v> </v>
      </c>
      <c r="F221" s="31" t="str">
        <f t="shared" si="21"/>
        <v> </v>
      </c>
      <c r="G221" s="31"/>
      <c r="H221" s="31" t="str">
        <f t="shared" ref="H221:H284" si="26">IF($F$13-ROW(H193)&gt;=0,$F$13-($F$13-ROW(H193))," ")</f>
        <v> </v>
      </c>
      <c r="I221" s="31" t="str">
        <f>IF(H221=" "," ",($I$26-$D$3*$F$13)*((H221/$F$13)-($C$18/(PI()))*SIN((PI()*H221)/$F$13))+$D$3*H221)</f>
        <v> </v>
      </c>
      <c r="J221" s="31" t="str">
        <f t="shared" si="22"/>
        <v> </v>
      </c>
      <c r="K221" s="31" t="str">
        <f t="shared" ref="K221:K284" si="27">IF($F$12-ROW(K193)&gt;=0,$F$12-($F$12-ROW(K193))," ")</f>
        <v> </v>
      </c>
      <c r="L221" s="31" t="str">
        <f>IF(K221=" "," ",($L$26-$D$3*$F$12)*((K221/$F$12)-($C$18/(PI()))*SIN((PI()*K221)/$F$12))+$D$3*K221)</f>
        <v> </v>
      </c>
      <c r="M221" s="31" t="str">
        <f t="shared" si="23"/>
        <v> </v>
      </c>
    </row>
    <row r="222" spans="1:13">
      <c r="A222" s="31" t="str">
        <f t="shared" si="24"/>
        <v> </v>
      </c>
      <c r="B222" s="31" t="str">
        <f>IF(A222=" "," ",($B$26-$B$3*($F$9))*((A222/($F$9))-($C$18/(PI()))*SIN((PI()*A222)/($F$9)))+$B$3*A222)</f>
        <v> </v>
      </c>
      <c r="C222" s="31" t="str">
        <f t="shared" ref="C222:C285" si="28">IF(A222=" "," ",(B222-B221)/(B221-B220))</f>
        <v> </v>
      </c>
      <c r="D222" s="31" t="str">
        <f t="shared" si="25"/>
        <v> </v>
      </c>
      <c r="E222" s="31" t="str">
        <f>IF(D222=" "," ",($E$26-$B$3*($F$8))*((D222/($F$8))-($C$18/(PI()))*SIN((PI()*D222)/($F$8)))+$B$3*D222)</f>
        <v> </v>
      </c>
      <c r="F222" s="31" t="str">
        <f t="shared" ref="F222:F285" si="29">IF(D222=" "," ",(E222-E221)/(E221-E220))</f>
        <v> </v>
      </c>
      <c r="G222" s="31"/>
      <c r="H222" s="31" t="str">
        <f t="shared" si="26"/>
        <v> </v>
      </c>
      <c r="I222" s="31" t="str">
        <f>IF(H222=" "," ",($I$26-$D$3*$F$13)*((H222/$F$13)-($C$18/(PI()))*SIN((PI()*H222)/$F$13))+$D$3*H222)</f>
        <v> </v>
      </c>
      <c r="J222" s="31" t="str">
        <f t="shared" ref="J222:J285" si="30">IF(H222=" "," ",(I222-I221)/(I221-I220))</f>
        <v> </v>
      </c>
      <c r="K222" s="31" t="str">
        <f t="shared" si="27"/>
        <v> </v>
      </c>
      <c r="L222" s="31" t="str">
        <f>IF(K222=" "," ",($L$26-$D$3*$F$12)*((K222/$F$12)-($C$18/(PI()))*SIN((PI()*K222)/$F$12))+$D$3*K222)</f>
        <v> </v>
      </c>
      <c r="M222" s="31" t="str">
        <f t="shared" ref="M222:M285" si="31">IF(K222=" "," ",(L222-L221)/(L221-L220))</f>
        <v> </v>
      </c>
    </row>
    <row r="223" spans="1:13">
      <c r="A223" s="31" t="str">
        <f t="shared" si="24"/>
        <v> </v>
      </c>
      <c r="B223" s="31" t="str">
        <f>IF(A223=" "," ",($B$26-$B$3*($F$9))*((A223/($F$9))-($C$18/(PI()))*SIN((PI()*A223)/($F$9)))+$B$3*A223)</f>
        <v> </v>
      </c>
      <c r="C223" s="31" t="str">
        <f t="shared" si="28"/>
        <v> </v>
      </c>
      <c r="D223" s="31" t="str">
        <f t="shared" si="25"/>
        <v> </v>
      </c>
      <c r="E223" s="31" t="str">
        <f>IF(D223=" "," ",($E$26-$B$3*($F$8))*((D223/($F$8))-($C$18/(PI()))*SIN((PI()*D223)/($F$8)))+$B$3*D223)</f>
        <v> </v>
      </c>
      <c r="F223" s="31" t="str">
        <f t="shared" si="29"/>
        <v> </v>
      </c>
      <c r="G223" s="31"/>
      <c r="H223" s="31" t="str">
        <f t="shared" si="26"/>
        <v> </v>
      </c>
      <c r="I223" s="31" t="str">
        <f>IF(H223=" "," ",($I$26-$D$3*$F$13)*((H223/$F$13)-($C$18/(PI()))*SIN((PI()*H223)/$F$13))+$D$3*H223)</f>
        <v> </v>
      </c>
      <c r="J223" s="31" t="str">
        <f t="shared" si="30"/>
        <v> </v>
      </c>
      <c r="K223" s="31" t="str">
        <f t="shared" si="27"/>
        <v> </v>
      </c>
      <c r="L223" s="31" t="str">
        <f>IF(K223=" "," ",($L$26-$D$3*$F$12)*((K223/$F$12)-($C$18/(PI()))*SIN((PI()*K223)/$F$12))+$D$3*K223)</f>
        <v> </v>
      </c>
      <c r="M223" s="31" t="str">
        <f t="shared" si="31"/>
        <v> </v>
      </c>
    </row>
    <row r="224" spans="1:13">
      <c r="A224" s="31" t="str">
        <f t="shared" si="24"/>
        <v> </v>
      </c>
      <c r="B224" s="31" t="str">
        <f>IF(A224=" "," ",($B$26-$B$3*($F$9))*((A224/($F$9))-($C$18/(PI()))*SIN((PI()*A224)/($F$9)))+$B$3*A224)</f>
        <v> </v>
      </c>
      <c r="C224" s="31" t="str">
        <f t="shared" si="28"/>
        <v> </v>
      </c>
      <c r="D224" s="31" t="str">
        <f t="shared" si="25"/>
        <v> </v>
      </c>
      <c r="E224" s="31" t="str">
        <f>IF(D224=" "," ",($E$26-$B$3*($F$8))*((D224/($F$8))-($C$18/(PI()))*SIN((PI()*D224)/($F$8)))+$B$3*D224)</f>
        <v> </v>
      </c>
      <c r="F224" s="31" t="str">
        <f t="shared" si="29"/>
        <v> </v>
      </c>
      <c r="G224" s="31"/>
      <c r="H224" s="31" t="str">
        <f t="shared" si="26"/>
        <v> </v>
      </c>
      <c r="I224" s="31" t="str">
        <f>IF(H224=" "," ",($I$26-$D$3*$F$13)*((H224/$F$13)-($C$18/(PI()))*SIN((PI()*H224)/$F$13))+$D$3*H224)</f>
        <v> </v>
      </c>
      <c r="J224" s="31" t="str">
        <f t="shared" si="30"/>
        <v> </v>
      </c>
      <c r="K224" s="31" t="str">
        <f t="shared" si="27"/>
        <v> </v>
      </c>
      <c r="L224" s="31" t="str">
        <f>IF(K224=" "," ",($L$26-$D$3*$F$12)*((K224/$F$12)-($C$18/(PI()))*SIN((PI()*K224)/$F$12))+$D$3*K224)</f>
        <v> </v>
      </c>
      <c r="M224" s="31" t="str">
        <f t="shared" si="31"/>
        <v> </v>
      </c>
    </row>
    <row r="225" spans="1:13">
      <c r="A225" s="31" t="str">
        <f t="shared" si="24"/>
        <v> </v>
      </c>
      <c r="B225" s="31" t="str">
        <f>IF(A225=" "," ",($B$26-$B$3*($F$9))*((A225/($F$9))-($C$18/(PI()))*SIN((PI()*A225)/($F$9)))+$B$3*A225)</f>
        <v> </v>
      </c>
      <c r="C225" s="31" t="str">
        <f t="shared" si="28"/>
        <v> </v>
      </c>
      <c r="D225" s="31" t="str">
        <f t="shared" si="25"/>
        <v> </v>
      </c>
      <c r="E225" s="31" t="str">
        <f>IF(D225=" "," ",($E$26-$B$3*($F$8))*((D225/($F$8))-($C$18/(PI()))*SIN((PI()*D225)/($F$8)))+$B$3*D225)</f>
        <v> </v>
      </c>
      <c r="F225" s="31" t="str">
        <f t="shared" si="29"/>
        <v> </v>
      </c>
      <c r="G225" s="31"/>
      <c r="H225" s="31" t="str">
        <f t="shared" si="26"/>
        <v> </v>
      </c>
      <c r="I225" s="31" t="str">
        <f>IF(H225=" "," ",($I$26-$D$3*$F$13)*((H225/$F$13)-($C$18/(PI()))*SIN((PI()*H225)/$F$13))+$D$3*H225)</f>
        <v> </v>
      </c>
      <c r="J225" s="31" t="str">
        <f t="shared" si="30"/>
        <v> </v>
      </c>
      <c r="K225" s="31" t="str">
        <f t="shared" si="27"/>
        <v> </v>
      </c>
      <c r="L225" s="31" t="str">
        <f>IF(K225=" "," ",($L$26-$D$3*$F$12)*((K225/$F$12)-($C$18/(PI()))*SIN((PI()*K225)/$F$12))+$D$3*K225)</f>
        <v> </v>
      </c>
      <c r="M225" s="31" t="str">
        <f t="shared" si="31"/>
        <v> </v>
      </c>
    </row>
    <row r="226" spans="1:13">
      <c r="A226" s="31" t="str">
        <f t="shared" si="24"/>
        <v> </v>
      </c>
      <c r="B226" s="31" t="str">
        <f>IF(A226=" "," ",($B$26-$B$3*($F$9))*((A226/($F$9))-($C$18/(PI()))*SIN((PI()*A226)/($F$9)))+$B$3*A226)</f>
        <v> </v>
      </c>
      <c r="C226" s="31" t="str">
        <f t="shared" si="28"/>
        <v> </v>
      </c>
      <c r="D226" s="31" t="str">
        <f t="shared" si="25"/>
        <v> </v>
      </c>
      <c r="E226" s="31" t="str">
        <f>IF(D226=" "," ",($E$26-$B$3*($F$8))*((D226/($F$8))-($C$18/(PI()))*SIN((PI()*D226)/($F$8)))+$B$3*D226)</f>
        <v> </v>
      </c>
      <c r="F226" s="31" t="str">
        <f t="shared" si="29"/>
        <v> </v>
      </c>
      <c r="G226" s="31"/>
      <c r="H226" s="31" t="str">
        <f t="shared" si="26"/>
        <v> </v>
      </c>
      <c r="I226" s="31" t="str">
        <f>IF(H226=" "," ",($I$26-$D$3*$F$13)*((H226/$F$13)-($C$18/(PI()))*SIN((PI()*H226)/$F$13))+$D$3*H226)</f>
        <v> </v>
      </c>
      <c r="J226" s="31" t="str">
        <f t="shared" si="30"/>
        <v> </v>
      </c>
      <c r="K226" s="31" t="str">
        <f t="shared" si="27"/>
        <v> </v>
      </c>
      <c r="L226" s="31" t="str">
        <f>IF(K226=" "," ",($L$26-$D$3*$F$12)*((K226/$F$12)-($C$18/(PI()))*SIN((PI()*K226)/$F$12))+$D$3*K226)</f>
        <v> </v>
      </c>
      <c r="M226" s="31" t="str">
        <f t="shared" si="31"/>
        <v> </v>
      </c>
    </row>
    <row r="227" spans="1:13">
      <c r="A227" s="31" t="str">
        <f t="shared" si="24"/>
        <v> </v>
      </c>
      <c r="B227" s="31" t="str">
        <f>IF(A227=" "," ",($B$26-$B$3*($F$9))*((A227/($F$9))-($C$18/(PI()))*SIN((PI()*A227)/($F$9)))+$B$3*A227)</f>
        <v> </v>
      </c>
      <c r="C227" s="31" t="str">
        <f t="shared" si="28"/>
        <v> </v>
      </c>
      <c r="D227" s="31" t="str">
        <f t="shared" si="25"/>
        <v> </v>
      </c>
      <c r="E227" s="31" t="str">
        <f>IF(D227=" "," ",($E$26-$B$3*($F$8))*((D227/($F$8))-($C$18/(PI()))*SIN((PI()*D227)/($F$8)))+$B$3*D227)</f>
        <v> </v>
      </c>
      <c r="F227" s="31" t="str">
        <f t="shared" si="29"/>
        <v> </v>
      </c>
      <c r="G227" s="31"/>
      <c r="H227" s="31" t="str">
        <f t="shared" si="26"/>
        <v> </v>
      </c>
      <c r="I227" s="31" t="str">
        <f>IF(H227=" "," ",($I$26-$D$3*$F$13)*((H227/$F$13)-($C$18/(PI()))*SIN((PI()*H227)/$F$13))+$D$3*H227)</f>
        <v> </v>
      </c>
      <c r="J227" s="31" t="str">
        <f t="shared" si="30"/>
        <v> </v>
      </c>
      <c r="K227" s="31" t="str">
        <f t="shared" si="27"/>
        <v> </v>
      </c>
      <c r="L227" s="31" t="str">
        <f>IF(K227=" "," ",($L$26-$D$3*$F$12)*((K227/$F$12)-($C$18/(PI()))*SIN((PI()*K227)/$F$12))+$D$3*K227)</f>
        <v> </v>
      </c>
      <c r="M227" s="31" t="str">
        <f t="shared" si="31"/>
        <v> </v>
      </c>
    </row>
    <row r="228" spans="1:13">
      <c r="A228" s="31" t="str">
        <f t="shared" si="24"/>
        <v> </v>
      </c>
      <c r="B228" s="31" t="str">
        <f>IF(A228=" "," ",($B$26-$B$3*($F$9))*((A228/($F$9))-($C$18/(PI()))*SIN((PI()*A228)/($F$9)))+$B$3*A228)</f>
        <v> </v>
      </c>
      <c r="C228" s="31" t="str">
        <f t="shared" si="28"/>
        <v> </v>
      </c>
      <c r="D228" s="31" t="str">
        <f t="shared" si="25"/>
        <v> </v>
      </c>
      <c r="E228" s="31" t="str">
        <f>IF(D228=" "," ",($E$26-$B$3*($F$8))*((D228/($F$8))-($C$18/(PI()))*SIN((PI()*D228)/($F$8)))+$B$3*D228)</f>
        <v> </v>
      </c>
      <c r="F228" s="31" t="str">
        <f t="shared" si="29"/>
        <v> </v>
      </c>
      <c r="G228" s="31"/>
      <c r="H228" s="31" t="str">
        <f t="shared" si="26"/>
        <v> </v>
      </c>
      <c r="I228" s="31" t="str">
        <f>IF(H228=" "," ",($I$26-$D$3*$F$13)*((H228/$F$13)-($C$18/(PI()))*SIN((PI()*H228)/$F$13))+$D$3*H228)</f>
        <v> </v>
      </c>
      <c r="J228" s="31" t="str">
        <f t="shared" si="30"/>
        <v> </v>
      </c>
      <c r="K228" s="31" t="str">
        <f t="shared" si="27"/>
        <v> </v>
      </c>
      <c r="L228" s="31" t="str">
        <f>IF(K228=" "," ",($L$26-$D$3*$F$12)*((K228/$F$12)-($C$18/(PI()))*SIN((PI()*K228)/$F$12))+$D$3*K228)</f>
        <v> </v>
      </c>
      <c r="M228" s="31" t="str">
        <f t="shared" si="31"/>
        <v> </v>
      </c>
    </row>
    <row r="229" spans="1:13">
      <c r="A229" s="31" t="str">
        <f t="shared" si="24"/>
        <v> </v>
      </c>
      <c r="B229" s="31" t="str">
        <f>IF(A229=" "," ",($B$26-$B$3*($F$9))*((A229/($F$9))-($C$18/(PI()))*SIN((PI()*A229)/($F$9)))+$B$3*A229)</f>
        <v> </v>
      </c>
      <c r="C229" s="31" t="str">
        <f t="shared" si="28"/>
        <v> </v>
      </c>
      <c r="D229" s="31" t="str">
        <f t="shared" si="25"/>
        <v> </v>
      </c>
      <c r="E229" s="31" t="str">
        <f>IF(D229=" "," ",($E$26-$B$3*($F$8))*((D229/($F$8))-($C$18/(PI()))*SIN((PI()*D229)/($F$8)))+$B$3*D229)</f>
        <v> </v>
      </c>
      <c r="F229" s="31" t="str">
        <f t="shared" si="29"/>
        <v> </v>
      </c>
      <c r="G229" s="31"/>
      <c r="H229" s="31" t="str">
        <f t="shared" si="26"/>
        <v> </v>
      </c>
      <c r="I229" s="31" t="str">
        <f>IF(H229=" "," ",($I$26-$D$3*$F$13)*((H229/$F$13)-($C$18/(PI()))*SIN((PI()*H229)/$F$13))+$D$3*H229)</f>
        <v> </v>
      </c>
      <c r="J229" s="31" t="str">
        <f t="shared" si="30"/>
        <v> </v>
      </c>
      <c r="K229" s="31" t="str">
        <f t="shared" si="27"/>
        <v> </v>
      </c>
      <c r="L229" s="31" t="str">
        <f>IF(K229=" "," ",($L$26-$D$3*$F$12)*((K229/$F$12)-($C$18/(PI()))*SIN((PI()*K229)/$F$12))+$D$3*K229)</f>
        <v> </v>
      </c>
      <c r="M229" s="31" t="str">
        <f t="shared" si="31"/>
        <v> </v>
      </c>
    </row>
    <row r="230" spans="1:13">
      <c r="A230" s="31" t="str">
        <f t="shared" si="24"/>
        <v> </v>
      </c>
      <c r="B230" s="31" t="str">
        <f>IF(A230=" "," ",($B$26-$B$3*($F$9))*((A230/($F$9))-($C$18/(PI()))*SIN((PI()*A230)/($F$9)))+$B$3*A230)</f>
        <v> </v>
      </c>
      <c r="C230" s="31" t="str">
        <f t="shared" si="28"/>
        <v> </v>
      </c>
      <c r="D230" s="31" t="str">
        <f t="shared" si="25"/>
        <v> </v>
      </c>
      <c r="E230" s="31" t="str">
        <f>IF(D230=" "," ",($E$26-$B$3*($F$8))*((D230/($F$8))-($C$18/(PI()))*SIN((PI()*D230)/($F$8)))+$B$3*D230)</f>
        <v> </v>
      </c>
      <c r="F230" s="31" t="str">
        <f t="shared" si="29"/>
        <v> </v>
      </c>
      <c r="G230" s="31"/>
      <c r="H230" s="31" t="str">
        <f t="shared" si="26"/>
        <v> </v>
      </c>
      <c r="I230" s="31" t="str">
        <f>IF(H230=" "," ",($I$26-$D$3*$F$13)*((H230/$F$13)-($C$18/(PI()))*SIN((PI()*H230)/$F$13))+$D$3*H230)</f>
        <v> </v>
      </c>
      <c r="J230" s="31" t="str">
        <f t="shared" si="30"/>
        <v> </v>
      </c>
      <c r="K230" s="31" t="str">
        <f t="shared" si="27"/>
        <v> </v>
      </c>
      <c r="L230" s="31" t="str">
        <f>IF(K230=" "," ",($L$26-$D$3*$F$12)*((K230/$F$12)-($C$18/(PI()))*SIN((PI()*K230)/$F$12))+$D$3*K230)</f>
        <v> </v>
      </c>
      <c r="M230" s="31" t="str">
        <f t="shared" si="31"/>
        <v> </v>
      </c>
    </row>
    <row r="231" spans="1:13">
      <c r="A231" s="31" t="str">
        <f t="shared" si="24"/>
        <v> </v>
      </c>
      <c r="B231" s="31" t="str">
        <f>IF(A231=" "," ",($B$26-$B$3*($F$9))*((A231/($F$9))-($C$18/(PI()))*SIN((PI()*A231)/($F$9)))+$B$3*A231)</f>
        <v> </v>
      </c>
      <c r="C231" s="31" t="str">
        <f t="shared" si="28"/>
        <v> </v>
      </c>
      <c r="D231" s="31" t="str">
        <f t="shared" si="25"/>
        <v> </v>
      </c>
      <c r="E231" s="31" t="str">
        <f>IF(D231=" "," ",($E$26-$B$3*($F$8))*((D231/($F$8))-($C$18/(PI()))*SIN((PI()*D231)/($F$8)))+$B$3*D231)</f>
        <v> </v>
      </c>
      <c r="F231" s="31" t="str">
        <f t="shared" si="29"/>
        <v> </v>
      </c>
      <c r="G231" s="31"/>
      <c r="H231" s="31" t="str">
        <f t="shared" si="26"/>
        <v> </v>
      </c>
      <c r="I231" s="31" t="str">
        <f>IF(H231=" "," ",($I$26-$D$3*$F$13)*((H231/$F$13)-($C$18/(PI()))*SIN((PI()*H231)/$F$13))+$D$3*H231)</f>
        <v> </v>
      </c>
      <c r="J231" s="31" t="str">
        <f t="shared" si="30"/>
        <v> </v>
      </c>
      <c r="K231" s="31" t="str">
        <f t="shared" si="27"/>
        <v> </v>
      </c>
      <c r="L231" s="31" t="str">
        <f>IF(K231=" "," ",($L$26-$D$3*$F$12)*((K231/$F$12)-($C$18/(PI()))*SIN((PI()*K231)/$F$12))+$D$3*K231)</f>
        <v> </v>
      </c>
      <c r="M231" s="31" t="str">
        <f t="shared" si="31"/>
        <v> </v>
      </c>
    </row>
    <row r="232" spans="1:13">
      <c r="A232" s="31" t="str">
        <f t="shared" si="24"/>
        <v> </v>
      </c>
      <c r="B232" s="31" t="str">
        <f>IF(A232=" "," ",($B$26-$B$3*($F$9))*((A232/($F$9))-($C$18/(PI()))*SIN((PI()*A232)/($F$9)))+$B$3*A232)</f>
        <v> </v>
      </c>
      <c r="C232" s="31" t="str">
        <f t="shared" si="28"/>
        <v> </v>
      </c>
      <c r="D232" s="31" t="str">
        <f t="shared" si="25"/>
        <v> </v>
      </c>
      <c r="E232" s="31" t="str">
        <f>IF(D232=" "," ",($E$26-$B$3*($F$8))*((D232/($F$8))-($C$18/(PI()))*SIN((PI()*D232)/($F$8)))+$B$3*D232)</f>
        <v> </v>
      </c>
      <c r="F232" s="31" t="str">
        <f t="shared" si="29"/>
        <v> </v>
      </c>
      <c r="G232" s="31"/>
      <c r="H232" s="31" t="str">
        <f t="shared" si="26"/>
        <v> </v>
      </c>
      <c r="I232" s="31" t="str">
        <f>IF(H232=" "," ",($I$26-$D$3*$F$13)*((H232/$F$13)-($C$18/(PI()))*SIN((PI()*H232)/$F$13))+$D$3*H232)</f>
        <v> </v>
      </c>
      <c r="J232" s="31" t="str">
        <f t="shared" si="30"/>
        <v> </v>
      </c>
      <c r="K232" s="31" t="str">
        <f t="shared" si="27"/>
        <v> </v>
      </c>
      <c r="L232" s="31" t="str">
        <f>IF(K232=" "," ",($L$26-$D$3*$F$12)*((K232/$F$12)-($C$18/(PI()))*SIN((PI()*K232)/$F$12))+$D$3*K232)</f>
        <v> </v>
      </c>
      <c r="M232" s="31" t="str">
        <f t="shared" si="31"/>
        <v> </v>
      </c>
    </row>
    <row r="233" spans="1:13">
      <c r="A233" s="31" t="str">
        <f t="shared" si="24"/>
        <v> </v>
      </c>
      <c r="B233" s="31" t="str">
        <f>IF(A233=" "," ",($B$26-$B$3*($F$9))*((A233/($F$9))-($C$18/(PI()))*SIN((PI()*A233)/($F$9)))+$B$3*A233)</f>
        <v> </v>
      </c>
      <c r="C233" s="31" t="str">
        <f t="shared" si="28"/>
        <v> </v>
      </c>
      <c r="D233" s="31" t="str">
        <f t="shared" si="25"/>
        <v> </v>
      </c>
      <c r="E233" s="31" t="str">
        <f>IF(D233=" "," ",($E$26-$B$3*($F$8))*((D233/($F$8))-($C$18/(PI()))*SIN((PI()*D233)/($F$8)))+$B$3*D233)</f>
        <v> </v>
      </c>
      <c r="F233" s="31" t="str">
        <f t="shared" si="29"/>
        <v> </v>
      </c>
      <c r="G233" s="31"/>
      <c r="H233" s="31" t="str">
        <f t="shared" si="26"/>
        <v> </v>
      </c>
      <c r="I233" s="31" t="str">
        <f>IF(H233=" "," ",($I$26-$D$3*$F$13)*((H233/$F$13)-($C$18/(PI()))*SIN((PI()*H233)/$F$13))+$D$3*H233)</f>
        <v> </v>
      </c>
      <c r="J233" s="31" t="str">
        <f t="shared" si="30"/>
        <v> </v>
      </c>
      <c r="K233" s="31" t="str">
        <f t="shared" si="27"/>
        <v> </v>
      </c>
      <c r="L233" s="31" t="str">
        <f>IF(K233=" "," ",($L$26-$D$3*$F$12)*((K233/$F$12)-($C$18/(PI()))*SIN((PI()*K233)/$F$12))+$D$3*K233)</f>
        <v> </v>
      </c>
      <c r="M233" s="31" t="str">
        <f t="shared" si="31"/>
        <v> </v>
      </c>
    </row>
    <row r="234" spans="1:13">
      <c r="A234" s="31" t="str">
        <f t="shared" si="24"/>
        <v> </v>
      </c>
      <c r="B234" s="31" t="str">
        <f>IF(A234=" "," ",($B$26-$B$3*($F$9))*((A234/($F$9))-($C$18/(PI()))*SIN((PI()*A234)/($F$9)))+$B$3*A234)</f>
        <v> </v>
      </c>
      <c r="C234" s="31" t="str">
        <f t="shared" si="28"/>
        <v> </v>
      </c>
      <c r="D234" s="31" t="str">
        <f t="shared" si="25"/>
        <v> </v>
      </c>
      <c r="E234" s="31" t="str">
        <f>IF(D234=" "," ",($E$26-$B$3*($F$8))*((D234/($F$8))-($C$18/(PI()))*SIN((PI()*D234)/($F$8)))+$B$3*D234)</f>
        <v> </v>
      </c>
      <c r="F234" s="31" t="str">
        <f t="shared" si="29"/>
        <v> </v>
      </c>
      <c r="G234" s="31"/>
      <c r="H234" s="31" t="str">
        <f t="shared" si="26"/>
        <v> </v>
      </c>
      <c r="I234" s="31" t="str">
        <f>IF(H234=" "," ",($I$26-$D$3*$F$13)*((H234/$F$13)-($C$18/(PI()))*SIN((PI()*H234)/$F$13))+$D$3*H234)</f>
        <v> </v>
      </c>
      <c r="J234" s="31" t="str">
        <f t="shared" si="30"/>
        <v> </v>
      </c>
      <c r="K234" s="31" t="str">
        <f t="shared" si="27"/>
        <v> </v>
      </c>
      <c r="L234" s="31" t="str">
        <f>IF(K234=" "," ",($L$26-$D$3*$F$12)*((K234/$F$12)-($C$18/(PI()))*SIN((PI()*K234)/$F$12))+$D$3*K234)</f>
        <v> </v>
      </c>
      <c r="M234" s="31" t="str">
        <f t="shared" si="31"/>
        <v> </v>
      </c>
    </row>
    <row r="235" spans="1:13">
      <c r="A235" s="31" t="str">
        <f t="shared" si="24"/>
        <v> </v>
      </c>
      <c r="B235" s="31" t="str">
        <f>IF(A235=" "," ",($B$26-$B$3*($F$9))*((A235/($F$9))-($C$18/(PI()))*SIN((PI()*A235)/($F$9)))+$B$3*A235)</f>
        <v> </v>
      </c>
      <c r="C235" s="31" t="str">
        <f t="shared" si="28"/>
        <v> </v>
      </c>
      <c r="D235" s="31" t="str">
        <f t="shared" si="25"/>
        <v> </v>
      </c>
      <c r="E235" s="31" t="str">
        <f>IF(D235=" "," ",($E$26-$B$3*($F$8))*((D235/($F$8))-($C$18/(PI()))*SIN((PI()*D235)/($F$8)))+$B$3*D235)</f>
        <v> </v>
      </c>
      <c r="F235" s="31" t="str">
        <f t="shared" si="29"/>
        <v> </v>
      </c>
      <c r="G235" s="31"/>
      <c r="H235" s="31" t="str">
        <f t="shared" si="26"/>
        <v> </v>
      </c>
      <c r="I235" s="31" t="str">
        <f>IF(H235=" "," ",($I$26-$D$3*$F$13)*((H235/$F$13)-($C$18/(PI()))*SIN((PI()*H235)/$F$13))+$D$3*H235)</f>
        <v> </v>
      </c>
      <c r="J235" s="31" t="str">
        <f t="shared" si="30"/>
        <v> </v>
      </c>
      <c r="K235" s="31" t="str">
        <f t="shared" si="27"/>
        <v> </v>
      </c>
      <c r="L235" s="31" t="str">
        <f>IF(K235=" "," ",($L$26-$D$3*$F$12)*((K235/$F$12)-($C$18/(PI()))*SIN((PI()*K235)/$F$12))+$D$3*K235)</f>
        <v> </v>
      </c>
      <c r="M235" s="31" t="str">
        <f t="shared" si="31"/>
        <v> </v>
      </c>
    </row>
    <row r="236" spans="1:13">
      <c r="A236" s="31" t="str">
        <f t="shared" si="24"/>
        <v> </v>
      </c>
      <c r="B236" s="31" t="str">
        <f>IF(A236=" "," ",($B$26-$B$3*($F$9))*((A236/($F$9))-($C$18/(PI()))*SIN((PI()*A236)/($F$9)))+$B$3*A236)</f>
        <v> </v>
      </c>
      <c r="C236" s="31" t="str">
        <f t="shared" si="28"/>
        <v> </v>
      </c>
      <c r="D236" s="31" t="str">
        <f t="shared" si="25"/>
        <v> </v>
      </c>
      <c r="E236" s="31" t="str">
        <f>IF(D236=" "," ",($E$26-$B$3*($F$8))*((D236/($F$8))-($C$18/(PI()))*SIN((PI()*D236)/($F$8)))+$B$3*D236)</f>
        <v> </v>
      </c>
      <c r="F236" s="31" t="str">
        <f t="shared" si="29"/>
        <v> </v>
      </c>
      <c r="G236" s="31"/>
      <c r="H236" s="31" t="str">
        <f t="shared" si="26"/>
        <v> </v>
      </c>
      <c r="I236" s="31" t="str">
        <f>IF(H236=" "," ",($I$26-$D$3*$F$13)*((H236/$F$13)-($C$18/(PI()))*SIN((PI()*H236)/$F$13))+$D$3*H236)</f>
        <v> </v>
      </c>
      <c r="J236" s="31" t="str">
        <f t="shared" si="30"/>
        <v> </v>
      </c>
      <c r="K236" s="31" t="str">
        <f t="shared" si="27"/>
        <v> </v>
      </c>
      <c r="L236" s="31" t="str">
        <f>IF(K236=" "," ",($L$26-$D$3*$F$12)*((K236/$F$12)-($C$18/(PI()))*SIN((PI()*K236)/$F$12))+$D$3*K236)</f>
        <v> </v>
      </c>
      <c r="M236" s="31" t="str">
        <f t="shared" si="31"/>
        <v> </v>
      </c>
    </row>
    <row r="237" spans="1:13">
      <c r="A237" s="31" t="str">
        <f t="shared" si="24"/>
        <v> </v>
      </c>
      <c r="B237" s="31" t="str">
        <f>IF(A237=" "," ",($B$26-$B$3*($F$9))*((A237/($F$9))-($C$18/(PI()))*SIN((PI()*A237)/($F$9)))+$B$3*A237)</f>
        <v> </v>
      </c>
      <c r="C237" s="31" t="str">
        <f t="shared" si="28"/>
        <v> </v>
      </c>
      <c r="D237" s="31" t="str">
        <f t="shared" si="25"/>
        <v> </v>
      </c>
      <c r="E237" s="31" t="str">
        <f>IF(D237=" "," ",($E$26-$B$3*($F$8))*((D237/($F$8))-($C$18/(PI()))*SIN((PI()*D237)/($F$8)))+$B$3*D237)</f>
        <v> </v>
      </c>
      <c r="F237" s="31" t="str">
        <f t="shared" si="29"/>
        <v> </v>
      </c>
      <c r="G237" s="31"/>
      <c r="H237" s="31" t="str">
        <f t="shared" si="26"/>
        <v> </v>
      </c>
      <c r="I237" s="31" t="str">
        <f>IF(H237=" "," ",($I$26-$D$3*$F$13)*((H237/$F$13)-($C$18/(PI()))*SIN((PI()*H237)/$F$13))+$D$3*H237)</f>
        <v> </v>
      </c>
      <c r="J237" s="31" t="str">
        <f t="shared" si="30"/>
        <v> </v>
      </c>
      <c r="K237" s="31" t="str">
        <f t="shared" si="27"/>
        <v> </v>
      </c>
      <c r="L237" s="31" t="str">
        <f>IF(K237=" "," ",($L$26-$D$3*$F$12)*((K237/$F$12)-($C$18/(PI()))*SIN((PI()*K237)/$F$12))+$D$3*K237)</f>
        <v> </v>
      </c>
      <c r="M237" s="31" t="str">
        <f t="shared" si="31"/>
        <v> </v>
      </c>
    </row>
    <row r="238" spans="1:13">
      <c r="A238" s="31" t="str">
        <f t="shared" si="24"/>
        <v> </v>
      </c>
      <c r="B238" s="31" t="str">
        <f>IF(A238=" "," ",($B$26-$B$3*($F$9))*((A238/($F$9))-($C$18/(PI()))*SIN((PI()*A238)/($F$9)))+$B$3*A238)</f>
        <v> </v>
      </c>
      <c r="C238" s="31" t="str">
        <f t="shared" si="28"/>
        <v> </v>
      </c>
      <c r="D238" s="31" t="str">
        <f t="shared" si="25"/>
        <v> </v>
      </c>
      <c r="E238" s="31" t="str">
        <f>IF(D238=" "," ",($E$26-$B$3*($F$8))*((D238/($F$8))-($C$18/(PI()))*SIN((PI()*D238)/($F$8)))+$B$3*D238)</f>
        <v> </v>
      </c>
      <c r="F238" s="31" t="str">
        <f t="shared" si="29"/>
        <v> </v>
      </c>
      <c r="G238" s="31"/>
      <c r="H238" s="31" t="str">
        <f t="shared" si="26"/>
        <v> </v>
      </c>
      <c r="I238" s="31" t="str">
        <f>IF(H238=" "," ",($I$26-$D$3*$F$13)*((H238/$F$13)-($C$18/(PI()))*SIN((PI()*H238)/$F$13))+$D$3*H238)</f>
        <v> </v>
      </c>
      <c r="J238" s="31" t="str">
        <f t="shared" si="30"/>
        <v> </v>
      </c>
      <c r="K238" s="31" t="str">
        <f t="shared" si="27"/>
        <v> </v>
      </c>
      <c r="L238" s="31" t="str">
        <f>IF(K238=" "," ",($L$26-$D$3*$F$12)*((K238/$F$12)-($C$18/(PI()))*SIN((PI()*K238)/$F$12))+$D$3*K238)</f>
        <v> </v>
      </c>
      <c r="M238" s="31" t="str">
        <f t="shared" si="31"/>
        <v> </v>
      </c>
    </row>
    <row r="239" spans="1:13">
      <c r="A239" s="31" t="str">
        <f t="shared" si="24"/>
        <v> </v>
      </c>
      <c r="B239" s="31" t="str">
        <f>IF(A239=" "," ",($B$26-$B$3*($F$9))*((A239/($F$9))-($C$18/(PI()))*SIN((PI()*A239)/($F$9)))+$B$3*A239)</f>
        <v> </v>
      </c>
      <c r="C239" s="31" t="str">
        <f t="shared" si="28"/>
        <v> </v>
      </c>
      <c r="D239" s="31" t="str">
        <f t="shared" si="25"/>
        <v> </v>
      </c>
      <c r="E239" s="31" t="str">
        <f>IF(D239=" "," ",($E$26-$B$3*($F$8))*((D239/($F$8))-($C$18/(PI()))*SIN((PI()*D239)/($F$8)))+$B$3*D239)</f>
        <v> </v>
      </c>
      <c r="F239" s="31" t="str">
        <f t="shared" si="29"/>
        <v> </v>
      </c>
      <c r="G239" s="31"/>
      <c r="H239" s="31" t="str">
        <f t="shared" si="26"/>
        <v> </v>
      </c>
      <c r="I239" s="31" t="str">
        <f>IF(H239=" "," ",($I$26-$D$3*$F$13)*((H239/$F$13)-($C$18/(PI()))*SIN((PI()*H239)/$F$13))+$D$3*H239)</f>
        <v> </v>
      </c>
      <c r="J239" s="31" t="str">
        <f t="shared" si="30"/>
        <v> </v>
      </c>
      <c r="K239" s="31" t="str">
        <f t="shared" si="27"/>
        <v> </v>
      </c>
      <c r="L239" s="31" t="str">
        <f>IF(K239=" "," ",($L$26-$D$3*$F$12)*((K239/$F$12)-($C$18/(PI()))*SIN((PI()*K239)/$F$12))+$D$3*K239)</f>
        <v> </v>
      </c>
      <c r="M239" s="31" t="str">
        <f t="shared" si="31"/>
        <v> </v>
      </c>
    </row>
    <row r="240" spans="1:13">
      <c r="A240" s="31" t="str">
        <f t="shared" si="24"/>
        <v> </v>
      </c>
      <c r="B240" s="31" t="str">
        <f>IF(A240=" "," ",($B$26-$B$3*($F$9))*((A240/($F$9))-($C$18/(PI()))*SIN((PI()*A240)/($F$9)))+$B$3*A240)</f>
        <v> </v>
      </c>
      <c r="C240" s="31" t="str">
        <f t="shared" si="28"/>
        <v> </v>
      </c>
      <c r="D240" s="31" t="str">
        <f t="shared" si="25"/>
        <v> </v>
      </c>
      <c r="E240" s="31" t="str">
        <f>IF(D240=" "," ",($E$26-$B$3*($F$8))*((D240/($F$8))-($C$18/(PI()))*SIN((PI()*D240)/($F$8)))+$B$3*D240)</f>
        <v> </v>
      </c>
      <c r="F240" s="31" t="str">
        <f t="shared" si="29"/>
        <v> </v>
      </c>
      <c r="G240" s="31"/>
      <c r="H240" s="31" t="str">
        <f t="shared" si="26"/>
        <v> </v>
      </c>
      <c r="I240" s="31" t="str">
        <f>IF(H240=" "," ",($I$26-$D$3*$F$13)*((H240/$F$13)-($C$18/(PI()))*SIN((PI()*H240)/$F$13))+$D$3*H240)</f>
        <v> </v>
      </c>
      <c r="J240" s="31" t="str">
        <f t="shared" si="30"/>
        <v> </v>
      </c>
      <c r="K240" s="31" t="str">
        <f t="shared" si="27"/>
        <v> </v>
      </c>
      <c r="L240" s="31" t="str">
        <f>IF(K240=" "," ",($L$26-$D$3*$F$12)*((K240/$F$12)-($C$18/(PI()))*SIN((PI()*K240)/$F$12))+$D$3*K240)</f>
        <v> </v>
      </c>
      <c r="M240" s="31" t="str">
        <f t="shared" si="31"/>
        <v> </v>
      </c>
    </row>
    <row r="241" spans="1:13">
      <c r="A241" s="31" t="str">
        <f t="shared" si="24"/>
        <v> </v>
      </c>
      <c r="B241" s="31" t="str">
        <f>IF(A241=" "," ",($B$26-$B$3*($F$9))*((A241/($F$9))-($C$18/(PI()))*SIN((PI()*A241)/($F$9)))+$B$3*A241)</f>
        <v> </v>
      </c>
      <c r="C241" s="31" t="str">
        <f t="shared" si="28"/>
        <v> </v>
      </c>
      <c r="D241" s="31" t="str">
        <f t="shared" si="25"/>
        <v> </v>
      </c>
      <c r="E241" s="31" t="str">
        <f>IF(D241=" "," ",($E$26-$B$3*($F$8))*((D241/($F$8))-($C$18/(PI()))*SIN((PI()*D241)/($F$8)))+$B$3*D241)</f>
        <v> </v>
      </c>
      <c r="F241" s="31" t="str">
        <f t="shared" si="29"/>
        <v> </v>
      </c>
      <c r="G241" s="31"/>
      <c r="H241" s="31" t="str">
        <f t="shared" si="26"/>
        <v> </v>
      </c>
      <c r="I241" s="31" t="str">
        <f>IF(H241=" "," ",($I$26-$D$3*$F$13)*((H241/$F$13)-($C$18/(PI()))*SIN((PI()*H241)/$F$13))+$D$3*H241)</f>
        <v> </v>
      </c>
      <c r="J241" s="31" t="str">
        <f t="shared" si="30"/>
        <v> </v>
      </c>
      <c r="K241" s="31" t="str">
        <f t="shared" si="27"/>
        <v> </v>
      </c>
      <c r="L241" s="31" t="str">
        <f>IF(K241=" "," ",($L$26-$D$3*$F$12)*((K241/$F$12)-($C$18/(PI()))*SIN((PI()*K241)/$F$12))+$D$3*K241)</f>
        <v> </v>
      </c>
      <c r="M241" s="31" t="str">
        <f t="shared" si="31"/>
        <v> </v>
      </c>
    </row>
    <row r="242" spans="1:13">
      <c r="A242" s="31" t="str">
        <f t="shared" si="24"/>
        <v> </v>
      </c>
      <c r="B242" s="31" t="str">
        <f>IF(A242=" "," ",($B$26-$B$3*($F$9))*((A242/($F$9))-($C$18/(PI()))*SIN((PI()*A242)/($F$9)))+$B$3*A242)</f>
        <v> </v>
      </c>
      <c r="C242" s="31" t="str">
        <f t="shared" si="28"/>
        <v> </v>
      </c>
      <c r="D242" s="31" t="str">
        <f t="shared" si="25"/>
        <v> </v>
      </c>
      <c r="E242" s="31" t="str">
        <f>IF(D242=" "," ",($E$26-$B$3*($F$8))*((D242/($F$8))-($C$18/(PI()))*SIN((PI()*D242)/($F$8)))+$B$3*D242)</f>
        <v> </v>
      </c>
      <c r="F242" s="31" t="str">
        <f t="shared" si="29"/>
        <v> </v>
      </c>
      <c r="G242" s="31"/>
      <c r="H242" s="31" t="str">
        <f t="shared" si="26"/>
        <v> </v>
      </c>
      <c r="I242" s="31" t="str">
        <f>IF(H242=" "," ",($I$26-$D$3*$F$13)*((H242/$F$13)-($C$18/(PI()))*SIN((PI()*H242)/$F$13))+$D$3*H242)</f>
        <v> </v>
      </c>
      <c r="J242" s="31" t="str">
        <f t="shared" si="30"/>
        <v> </v>
      </c>
      <c r="K242" s="31" t="str">
        <f t="shared" si="27"/>
        <v> </v>
      </c>
      <c r="L242" s="31" t="str">
        <f>IF(K242=" "," ",($L$26-$D$3*$F$12)*((K242/$F$12)-($C$18/(PI()))*SIN((PI()*K242)/$F$12))+$D$3*K242)</f>
        <v> </v>
      </c>
      <c r="M242" s="31" t="str">
        <f t="shared" si="31"/>
        <v> </v>
      </c>
    </row>
    <row r="243" spans="1:13">
      <c r="A243" s="31" t="str">
        <f t="shared" si="24"/>
        <v> </v>
      </c>
      <c r="B243" s="31" t="str">
        <f>IF(A243=" "," ",($B$26-$B$3*($F$9))*((A243/($F$9))-($C$18/(PI()))*SIN((PI()*A243)/($F$9)))+$B$3*A243)</f>
        <v> </v>
      </c>
      <c r="C243" s="31" t="str">
        <f t="shared" si="28"/>
        <v> </v>
      </c>
      <c r="D243" s="31" t="str">
        <f t="shared" si="25"/>
        <v> </v>
      </c>
      <c r="E243" s="31" t="str">
        <f>IF(D243=" "," ",($E$26-$B$3*($F$8))*((D243/($F$8))-($C$18/(PI()))*SIN((PI()*D243)/($F$8)))+$B$3*D243)</f>
        <v> </v>
      </c>
      <c r="F243" s="31" t="str">
        <f t="shared" si="29"/>
        <v> </v>
      </c>
      <c r="G243" s="31"/>
      <c r="H243" s="31" t="str">
        <f t="shared" si="26"/>
        <v> </v>
      </c>
      <c r="I243" s="31" t="str">
        <f>IF(H243=" "," ",($I$26-$D$3*$F$13)*((H243/$F$13)-($C$18/(PI()))*SIN((PI()*H243)/$F$13))+$D$3*H243)</f>
        <v> </v>
      </c>
      <c r="J243" s="31" t="str">
        <f t="shared" si="30"/>
        <v> </v>
      </c>
      <c r="K243" s="31" t="str">
        <f t="shared" si="27"/>
        <v> </v>
      </c>
      <c r="L243" s="31" t="str">
        <f>IF(K243=" "," ",($L$26-$D$3*$F$12)*((K243/$F$12)-($C$18/(PI()))*SIN((PI()*K243)/$F$12))+$D$3*K243)</f>
        <v> </v>
      </c>
      <c r="M243" s="31" t="str">
        <f t="shared" si="31"/>
        <v> </v>
      </c>
    </row>
    <row r="244" spans="1:13">
      <c r="A244" s="31" t="str">
        <f t="shared" si="24"/>
        <v> </v>
      </c>
      <c r="B244" s="31" t="str">
        <f>IF(A244=" "," ",($B$26-$B$3*($F$9))*((A244/($F$9))-($C$18/(PI()))*SIN((PI()*A244)/($F$9)))+$B$3*A244)</f>
        <v> </v>
      </c>
      <c r="C244" s="31" t="str">
        <f t="shared" si="28"/>
        <v> </v>
      </c>
      <c r="D244" s="31" t="str">
        <f t="shared" si="25"/>
        <v> </v>
      </c>
      <c r="E244" s="31" t="str">
        <f>IF(D244=" "," ",($E$26-$B$3*($F$8))*((D244/($F$8))-($C$18/(PI()))*SIN((PI()*D244)/($F$8)))+$B$3*D244)</f>
        <v> </v>
      </c>
      <c r="F244" s="31" t="str">
        <f t="shared" si="29"/>
        <v> </v>
      </c>
      <c r="G244" s="31"/>
      <c r="H244" s="31" t="str">
        <f t="shared" si="26"/>
        <v> </v>
      </c>
      <c r="I244" s="31" t="str">
        <f>IF(H244=" "," ",($I$26-$D$3*$F$13)*((H244/$F$13)-($C$18/(PI()))*SIN((PI()*H244)/$F$13))+$D$3*H244)</f>
        <v> </v>
      </c>
      <c r="J244" s="31" t="str">
        <f t="shared" si="30"/>
        <v> </v>
      </c>
      <c r="K244" s="31" t="str">
        <f t="shared" si="27"/>
        <v> </v>
      </c>
      <c r="L244" s="31" t="str">
        <f>IF(K244=" "," ",($L$26-$D$3*$F$12)*((K244/$F$12)-($C$18/(PI()))*SIN((PI()*K244)/$F$12))+$D$3*K244)</f>
        <v> </v>
      </c>
      <c r="M244" s="31" t="str">
        <f t="shared" si="31"/>
        <v> </v>
      </c>
    </row>
    <row r="245" spans="1:13">
      <c r="A245" s="31" t="str">
        <f t="shared" si="24"/>
        <v> </v>
      </c>
      <c r="B245" s="31" t="str">
        <f>IF(A245=" "," ",($B$26-$B$3*($F$9))*((A245/($F$9))-($C$18/(PI()))*SIN((PI()*A245)/($F$9)))+$B$3*A245)</f>
        <v> </v>
      </c>
      <c r="C245" s="31" t="str">
        <f t="shared" si="28"/>
        <v> </v>
      </c>
      <c r="D245" s="31" t="str">
        <f t="shared" si="25"/>
        <v> </v>
      </c>
      <c r="E245" s="31" t="str">
        <f>IF(D245=" "," ",($E$26-$B$3*($F$8))*((D245/($F$8))-($C$18/(PI()))*SIN((PI()*D245)/($F$8)))+$B$3*D245)</f>
        <v> </v>
      </c>
      <c r="F245" s="31" t="str">
        <f t="shared" si="29"/>
        <v> </v>
      </c>
      <c r="G245" s="31"/>
      <c r="H245" s="31" t="str">
        <f t="shared" si="26"/>
        <v> </v>
      </c>
      <c r="I245" s="31" t="str">
        <f>IF(H245=" "," ",($I$26-$D$3*$F$13)*((H245/$F$13)-($C$18/(PI()))*SIN((PI()*H245)/$F$13))+$D$3*H245)</f>
        <v> </v>
      </c>
      <c r="J245" s="31" t="str">
        <f t="shared" si="30"/>
        <v> </v>
      </c>
      <c r="K245" s="31" t="str">
        <f t="shared" si="27"/>
        <v> </v>
      </c>
      <c r="L245" s="31" t="str">
        <f>IF(K245=" "," ",($L$26-$D$3*$F$12)*((K245/$F$12)-($C$18/(PI()))*SIN((PI()*K245)/$F$12))+$D$3*K245)</f>
        <v> </v>
      </c>
      <c r="M245" s="31" t="str">
        <f t="shared" si="31"/>
        <v> </v>
      </c>
    </row>
    <row r="246" spans="1:13">
      <c r="A246" s="31" t="str">
        <f t="shared" si="24"/>
        <v> </v>
      </c>
      <c r="B246" s="31" t="str">
        <f>IF(A246=" "," ",($B$26-$B$3*($F$9))*((A246/($F$9))-($C$18/(PI()))*SIN((PI()*A246)/($F$9)))+$B$3*A246)</f>
        <v> </v>
      </c>
      <c r="C246" s="31" t="str">
        <f t="shared" si="28"/>
        <v> </v>
      </c>
      <c r="D246" s="31" t="str">
        <f t="shared" si="25"/>
        <v> </v>
      </c>
      <c r="E246" s="31" t="str">
        <f>IF(D246=" "," ",($E$26-$B$3*($F$8))*((D246/($F$8))-($C$18/(PI()))*SIN((PI()*D246)/($F$8)))+$B$3*D246)</f>
        <v> </v>
      </c>
      <c r="F246" s="31" t="str">
        <f t="shared" si="29"/>
        <v> </v>
      </c>
      <c r="G246" s="31"/>
      <c r="H246" s="31" t="str">
        <f t="shared" si="26"/>
        <v> </v>
      </c>
      <c r="I246" s="31" t="str">
        <f>IF(H246=" "," ",($I$26-$D$3*$F$13)*((H246/$F$13)-($C$18/(PI()))*SIN((PI()*H246)/$F$13))+$D$3*H246)</f>
        <v> </v>
      </c>
      <c r="J246" s="31" t="str">
        <f t="shared" si="30"/>
        <v> </v>
      </c>
      <c r="K246" s="31" t="str">
        <f t="shared" si="27"/>
        <v> </v>
      </c>
      <c r="L246" s="31" t="str">
        <f>IF(K246=" "," ",($L$26-$D$3*$F$12)*((K246/$F$12)-($C$18/(PI()))*SIN((PI()*K246)/$F$12))+$D$3*K246)</f>
        <v> </v>
      </c>
      <c r="M246" s="31" t="str">
        <f t="shared" si="31"/>
        <v> </v>
      </c>
    </row>
    <row r="247" spans="1:13">
      <c r="A247" s="31" t="str">
        <f t="shared" si="24"/>
        <v> </v>
      </c>
      <c r="B247" s="31" t="str">
        <f>IF(A247=" "," ",($B$26-$B$3*($F$9))*((A247/($F$9))-($C$18/(PI()))*SIN((PI()*A247)/($F$9)))+$B$3*A247)</f>
        <v> </v>
      </c>
      <c r="C247" s="31" t="str">
        <f t="shared" si="28"/>
        <v> </v>
      </c>
      <c r="D247" s="31" t="str">
        <f t="shared" si="25"/>
        <v> </v>
      </c>
      <c r="E247" s="31" t="str">
        <f>IF(D247=" "," ",($E$26-$B$3*($F$8))*((D247/($F$8))-($C$18/(PI()))*SIN((PI()*D247)/($F$8)))+$B$3*D247)</f>
        <v> </v>
      </c>
      <c r="F247" s="31" t="str">
        <f t="shared" si="29"/>
        <v> </v>
      </c>
      <c r="G247" s="31"/>
      <c r="H247" s="31" t="str">
        <f t="shared" si="26"/>
        <v> </v>
      </c>
      <c r="I247" s="31" t="str">
        <f>IF(H247=" "," ",($I$26-$D$3*$F$13)*((H247/$F$13)-($C$18/(PI()))*SIN((PI()*H247)/$F$13))+$D$3*H247)</f>
        <v> </v>
      </c>
      <c r="J247" s="31" t="str">
        <f t="shared" si="30"/>
        <v> </v>
      </c>
      <c r="K247" s="31" t="str">
        <f t="shared" si="27"/>
        <v> </v>
      </c>
      <c r="L247" s="31" t="str">
        <f>IF(K247=" "," ",($L$26-$D$3*$F$12)*((K247/$F$12)-($C$18/(PI()))*SIN((PI()*K247)/$F$12))+$D$3*K247)</f>
        <v> </v>
      </c>
      <c r="M247" s="31" t="str">
        <f t="shared" si="31"/>
        <v> </v>
      </c>
    </row>
    <row r="248" spans="1:13">
      <c r="A248" s="31" t="str">
        <f t="shared" si="24"/>
        <v> </v>
      </c>
      <c r="B248" s="31" t="str">
        <f>IF(A248=" "," ",($B$26-$B$3*($F$9))*((A248/($F$9))-($C$18/(PI()))*SIN((PI()*A248)/($F$9)))+$B$3*A248)</f>
        <v> </v>
      </c>
      <c r="C248" s="31" t="str">
        <f t="shared" si="28"/>
        <v> </v>
      </c>
      <c r="D248" s="31" t="str">
        <f t="shared" si="25"/>
        <v> </v>
      </c>
      <c r="E248" s="31" t="str">
        <f>IF(D248=" "," ",($E$26-$B$3*($F$8))*((D248/($F$8))-($C$18/(PI()))*SIN((PI()*D248)/($F$8)))+$B$3*D248)</f>
        <v> </v>
      </c>
      <c r="F248" s="31" t="str">
        <f t="shared" si="29"/>
        <v> </v>
      </c>
      <c r="G248" s="31"/>
      <c r="H248" s="31" t="str">
        <f t="shared" si="26"/>
        <v> </v>
      </c>
      <c r="I248" s="31" t="str">
        <f>IF(H248=" "," ",($I$26-$D$3*$F$13)*((H248/$F$13)-($C$18/(PI()))*SIN((PI()*H248)/$F$13))+$D$3*H248)</f>
        <v> </v>
      </c>
      <c r="J248" s="31" t="str">
        <f t="shared" si="30"/>
        <v> </v>
      </c>
      <c r="K248" s="31" t="str">
        <f t="shared" si="27"/>
        <v> </v>
      </c>
      <c r="L248" s="31" t="str">
        <f>IF(K248=" "," ",($L$26-$D$3*$F$12)*((K248/$F$12)-($C$18/(PI()))*SIN((PI()*K248)/$F$12))+$D$3*K248)</f>
        <v> </v>
      </c>
      <c r="M248" s="31" t="str">
        <f t="shared" si="31"/>
        <v> </v>
      </c>
    </row>
    <row r="249" spans="1:13">
      <c r="A249" s="31" t="str">
        <f t="shared" si="24"/>
        <v> </v>
      </c>
      <c r="B249" s="31" t="str">
        <f>IF(A249=" "," ",($B$26-$B$3*($F$9))*((A249/($F$9))-($C$18/(PI()))*SIN((PI()*A249)/($F$9)))+$B$3*A249)</f>
        <v> </v>
      </c>
      <c r="C249" s="31" t="str">
        <f t="shared" si="28"/>
        <v> </v>
      </c>
      <c r="D249" s="31" t="str">
        <f t="shared" si="25"/>
        <v> </v>
      </c>
      <c r="E249" s="31" t="str">
        <f>IF(D249=" "," ",($E$26-$B$3*($F$8))*((D249/($F$8))-($C$18/(PI()))*SIN((PI()*D249)/($F$8)))+$B$3*D249)</f>
        <v> </v>
      </c>
      <c r="F249" s="31" t="str">
        <f t="shared" si="29"/>
        <v> </v>
      </c>
      <c r="G249" s="31"/>
      <c r="H249" s="31" t="str">
        <f t="shared" si="26"/>
        <v> </v>
      </c>
      <c r="I249" s="31" t="str">
        <f>IF(H249=" "," ",($I$26-$D$3*$F$13)*((H249/$F$13)-($C$18/(PI()))*SIN((PI()*H249)/$F$13))+$D$3*H249)</f>
        <v> </v>
      </c>
      <c r="J249" s="31" t="str">
        <f t="shared" si="30"/>
        <v> </v>
      </c>
      <c r="K249" s="31" t="str">
        <f t="shared" si="27"/>
        <v> </v>
      </c>
      <c r="L249" s="31" t="str">
        <f>IF(K249=" "," ",($L$26-$D$3*$F$12)*((K249/$F$12)-($C$18/(PI()))*SIN((PI()*K249)/$F$12))+$D$3*K249)</f>
        <v> </v>
      </c>
      <c r="M249" s="31" t="str">
        <f t="shared" si="31"/>
        <v> </v>
      </c>
    </row>
    <row r="250" spans="1:13">
      <c r="A250" s="31" t="str">
        <f t="shared" si="24"/>
        <v> </v>
      </c>
      <c r="B250" s="31" t="str">
        <f>IF(A250=" "," ",($B$26-$B$3*($F$9))*((A250/($F$9))-($C$18/(PI()))*SIN((PI()*A250)/($F$9)))+$B$3*A250)</f>
        <v> </v>
      </c>
      <c r="C250" s="31" t="str">
        <f t="shared" si="28"/>
        <v> </v>
      </c>
      <c r="D250" s="31" t="str">
        <f t="shared" si="25"/>
        <v> </v>
      </c>
      <c r="E250" s="31" t="str">
        <f>IF(D250=" "," ",($E$26-$B$3*($F$8))*((D250/($F$8))-($C$18/(PI()))*SIN((PI()*D250)/($F$8)))+$B$3*D250)</f>
        <v> </v>
      </c>
      <c r="F250" s="31" t="str">
        <f t="shared" si="29"/>
        <v> </v>
      </c>
      <c r="G250" s="31"/>
      <c r="H250" s="31" t="str">
        <f t="shared" si="26"/>
        <v> </v>
      </c>
      <c r="I250" s="31" t="str">
        <f>IF(H250=" "," ",($I$26-$D$3*$F$13)*((H250/$F$13)-($C$18/(PI()))*SIN((PI()*H250)/$F$13))+$D$3*H250)</f>
        <v> </v>
      </c>
      <c r="J250" s="31" t="str">
        <f t="shared" si="30"/>
        <v> </v>
      </c>
      <c r="K250" s="31" t="str">
        <f t="shared" si="27"/>
        <v> </v>
      </c>
      <c r="L250" s="31" t="str">
        <f>IF(K250=" "," ",($L$26-$D$3*$F$12)*((K250/$F$12)-($C$18/(PI()))*SIN((PI()*K250)/$F$12))+$D$3*K250)</f>
        <v> </v>
      </c>
      <c r="M250" s="31" t="str">
        <f t="shared" si="31"/>
        <v> </v>
      </c>
    </row>
    <row r="251" spans="1:13">
      <c r="A251" s="31" t="str">
        <f t="shared" si="24"/>
        <v> </v>
      </c>
      <c r="B251" s="31" t="str">
        <f>IF(A251=" "," ",($B$26-$B$3*($F$9))*((A251/($F$9))-($C$18/(PI()))*SIN((PI()*A251)/($F$9)))+$B$3*A251)</f>
        <v> </v>
      </c>
      <c r="C251" s="31" t="str">
        <f t="shared" si="28"/>
        <v> </v>
      </c>
      <c r="D251" s="31" t="str">
        <f t="shared" si="25"/>
        <v> </v>
      </c>
      <c r="E251" s="31" t="str">
        <f>IF(D251=" "," ",($E$26-$B$3*($F$8))*((D251/($F$8))-($C$18/(PI()))*SIN((PI()*D251)/($F$8)))+$B$3*D251)</f>
        <v> </v>
      </c>
      <c r="F251" s="31" t="str">
        <f t="shared" si="29"/>
        <v> </v>
      </c>
      <c r="G251" s="31"/>
      <c r="H251" s="31" t="str">
        <f t="shared" si="26"/>
        <v> </v>
      </c>
      <c r="I251" s="31" t="str">
        <f>IF(H251=" "," ",($I$26-$D$3*$F$13)*((H251/$F$13)-($C$18/(PI()))*SIN((PI()*H251)/$F$13))+$D$3*H251)</f>
        <v> </v>
      </c>
      <c r="J251" s="31" t="str">
        <f t="shared" si="30"/>
        <v> </v>
      </c>
      <c r="K251" s="31" t="str">
        <f t="shared" si="27"/>
        <v> </v>
      </c>
      <c r="L251" s="31" t="str">
        <f>IF(K251=" "," ",($L$26-$D$3*$F$12)*((K251/$F$12)-($C$18/(PI()))*SIN((PI()*K251)/$F$12))+$D$3*K251)</f>
        <v> </v>
      </c>
      <c r="M251" s="31" t="str">
        <f t="shared" si="31"/>
        <v> </v>
      </c>
    </row>
    <row r="252" spans="1:13">
      <c r="A252" s="31" t="str">
        <f t="shared" si="24"/>
        <v> </v>
      </c>
      <c r="B252" s="31" t="str">
        <f>IF(A252=" "," ",($B$26-$B$3*($F$9))*((A252/($F$9))-($C$18/(PI()))*SIN((PI()*A252)/($F$9)))+$B$3*A252)</f>
        <v> </v>
      </c>
      <c r="C252" s="31" t="str">
        <f t="shared" si="28"/>
        <v> </v>
      </c>
      <c r="D252" s="31" t="str">
        <f t="shared" si="25"/>
        <v> </v>
      </c>
      <c r="E252" s="31" t="str">
        <f>IF(D252=" "," ",($E$26-$B$3*($F$8))*((D252/($F$8))-($C$18/(PI()))*SIN((PI()*D252)/($F$8)))+$B$3*D252)</f>
        <v> </v>
      </c>
      <c r="F252" s="31" t="str">
        <f t="shared" si="29"/>
        <v> </v>
      </c>
      <c r="G252" s="31"/>
      <c r="H252" s="31" t="str">
        <f t="shared" si="26"/>
        <v> </v>
      </c>
      <c r="I252" s="31" t="str">
        <f>IF(H252=" "," ",($I$26-$D$3*$F$13)*((H252/$F$13)-($C$18/(PI()))*SIN((PI()*H252)/$F$13))+$D$3*H252)</f>
        <v> </v>
      </c>
      <c r="J252" s="31" t="str">
        <f t="shared" si="30"/>
        <v> </v>
      </c>
      <c r="K252" s="31" t="str">
        <f t="shared" si="27"/>
        <v> </v>
      </c>
      <c r="L252" s="31" t="str">
        <f>IF(K252=" "," ",($L$26-$D$3*$F$12)*((K252/$F$12)-($C$18/(PI()))*SIN((PI()*K252)/$F$12))+$D$3*K252)</f>
        <v> </v>
      </c>
      <c r="M252" s="31" t="str">
        <f t="shared" si="31"/>
        <v> </v>
      </c>
    </row>
    <row r="253" spans="1:13">
      <c r="A253" s="31" t="str">
        <f t="shared" si="24"/>
        <v> </v>
      </c>
      <c r="B253" s="31" t="str">
        <f>IF(A253=" "," ",($B$26-$B$3*($F$9))*((A253/($F$9))-($C$18/(PI()))*SIN((PI()*A253)/($F$9)))+$B$3*A253)</f>
        <v> </v>
      </c>
      <c r="C253" s="31" t="str">
        <f t="shared" si="28"/>
        <v> </v>
      </c>
      <c r="D253" s="31" t="str">
        <f t="shared" si="25"/>
        <v> </v>
      </c>
      <c r="E253" s="31" t="str">
        <f>IF(D253=" "," ",($E$26-$B$3*($F$8))*((D253/($F$8))-($C$18/(PI()))*SIN((PI()*D253)/($F$8)))+$B$3*D253)</f>
        <v> </v>
      </c>
      <c r="F253" s="31" t="str">
        <f t="shared" si="29"/>
        <v> </v>
      </c>
      <c r="G253" s="31"/>
      <c r="H253" s="31" t="str">
        <f t="shared" si="26"/>
        <v> </v>
      </c>
      <c r="I253" s="31" t="str">
        <f>IF(H253=" "," ",($I$26-$D$3*$F$13)*((H253/$F$13)-($C$18/(PI()))*SIN((PI()*H253)/$F$13))+$D$3*H253)</f>
        <v> </v>
      </c>
      <c r="J253" s="31" t="str">
        <f t="shared" si="30"/>
        <v> </v>
      </c>
      <c r="K253" s="31" t="str">
        <f t="shared" si="27"/>
        <v> </v>
      </c>
      <c r="L253" s="31" t="str">
        <f>IF(K253=" "," ",($L$26-$D$3*$F$12)*((K253/$F$12)-($C$18/(PI()))*SIN((PI()*K253)/$F$12))+$D$3*K253)</f>
        <v> </v>
      </c>
      <c r="M253" s="31" t="str">
        <f t="shared" si="31"/>
        <v> </v>
      </c>
    </row>
    <row r="254" spans="1:13">
      <c r="A254" s="31" t="str">
        <f t="shared" si="24"/>
        <v> </v>
      </c>
      <c r="B254" s="31" t="str">
        <f>IF(A254=" "," ",($B$26-$B$3*($F$9))*((A254/($F$9))-($C$18/(PI()))*SIN((PI()*A254)/($F$9)))+$B$3*A254)</f>
        <v> </v>
      </c>
      <c r="C254" s="31" t="str">
        <f t="shared" si="28"/>
        <v> </v>
      </c>
      <c r="D254" s="31" t="str">
        <f t="shared" si="25"/>
        <v> </v>
      </c>
      <c r="E254" s="31" t="str">
        <f>IF(D254=" "," ",($E$26-$B$3*($F$8))*((D254/($F$8))-($C$18/(PI()))*SIN((PI()*D254)/($F$8)))+$B$3*D254)</f>
        <v> </v>
      </c>
      <c r="F254" s="31" t="str">
        <f t="shared" si="29"/>
        <v> </v>
      </c>
      <c r="G254" s="31"/>
      <c r="H254" s="31" t="str">
        <f t="shared" si="26"/>
        <v> </v>
      </c>
      <c r="I254" s="31" t="str">
        <f>IF(H254=" "," ",($I$26-$D$3*$F$13)*((H254/$F$13)-($C$18/(PI()))*SIN((PI()*H254)/$F$13))+$D$3*H254)</f>
        <v> </v>
      </c>
      <c r="J254" s="31" t="str">
        <f t="shared" si="30"/>
        <v> </v>
      </c>
      <c r="K254" s="31" t="str">
        <f t="shared" si="27"/>
        <v> </v>
      </c>
      <c r="L254" s="31" t="str">
        <f>IF(K254=" "," ",($L$26-$D$3*$F$12)*((K254/$F$12)-($C$18/(PI()))*SIN((PI()*K254)/$F$12))+$D$3*K254)</f>
        <v> </v>
      </c>
      <c r="M254" s="31" t="str">
        <f t="shared" si="31"/>
        <v> </v>
      </c>
    </row>
    <row r="255" spans="1:13">
      <c r="A255" s="31" t="str">
        <f t="shared" si="24"/>
        <v> </v>
      </c>
      <c r="B255" s="31" t="str">
        <f>IF(A255=" "," ",($B$26-$B$3*($F$9))*((A255/($F$9))-($C$18/(PI()))*SIN((PI()*A255)/($F$9)))+$B$3*A255)</f>
        <v> </v>
      </c>
      <c r="C255" s="31" t="str">
        <f t="shared" si="28"/>
        <v> </v>
      </c>
      <c r="D255" s="31" t="str">
        <f t="shared" si="25"/>
        <v> </v>
      </c>
      <c r="E255" s="31" t="str">
        <f>IF(D255=" "," ",($E$26-$B$3*($F$8))*((D255/($F$8))-($C$18/(PI()))*SIN((PI()*D255)/($F$8)))+$B$3*D255)</f>
        <v> </v>
      </c>
      <c r="F255" s="31" t="str">
        <f t="shared" si="29"/>
        <v> </v>
      </c>
      <c r="G255" s="31"/>
      <c r="H255" s="31" t="str">
        <f t="shared" si="26"/>
        <v> </v>
      </c>
      <c r="I255" s="31" t="str">
        <f>IF(H255=" "," ",($I$26-$D$3*$F$13)*((H255/$F$13)-($C$18/(PI()))*SIN((PI()*H255)/$F$13))+$D$3*H255)</f>
        <v> </v>
      </c>
      <c r="J255" s="31" t="str">
        <f t="shared" si="30"/>
        <v> </v>
      </c>
      <c r="K255" s="31" t="str">
        <f t="shared" si="27"/>
        <v> </v>
      </c>
      <c r="L255" s="31" t="str">
        <f>IF(K255=" "," ",($L$26-$D$3*$F$12)*((K255/$F$12)-($C$18/(PI()))*SIN((PI()*K255)/$F$12))+$D$3*K255)</f>
        <v> </v>
      </c>
      <c r="M255" s="31" t="str">
        <f t="shared" si="31"/>
        <v> </v>
      </c>
    </row>
    <row r="256" spans="1:13">
      <c r="A256" s="31" t="str">
        <f t="shared" si="24"/>
        <v> </v>
      </c>
      <c r="B256" s="31" t="str">
        <f>IF(A256=" "," ",($B$26-$B$3*($F$9))*((A256/($F$9))-($C$18/(PI()))*SIN((PI()*A256)/($F$9)))+$B$3*A256)</f>
        <v> </v>
      </c>
      <c r="C256" s="31" t="str">
        <f t="shared" si="28"/>
        <v> </v>
      </c>
      <c r="D256" s="31" t="str">
        <f t="shared" si="25"/>
        <v> </v>
      </c>
      <c r="E256" s="31" t="str">
        <f>IF(D256=" "," ",($E$26-$B$3*($F$8))*((D256/($F$8))-($C$18/(PI()))*SIN((PI()*D256)/($F$8)))+$B$3*D256)</f>
        <v> </v>
      </c>
      <c r="F256" s="31" t="str">
        <f t="shared" si="29"/>
        <v> </v>
      </c>
      <c r="G256" s="31"/>
      <c r="H256" s="31" t="str">
        <f t="shared" si="26"/>
        <v> </v>
      </c>
      <c r="I256" s="31" t="str">
        <f>IF(H256=" "," ",($I$26-$D$3*$F$13)*((H256/$F$13)-($C$18/(PI()))*SIN((PI()*H256)/$F$13))+$D$3*H256)</f>
        <v> </v>
      </c>
      <c r="J256" s="31" t="str">
        <f t="shared" si="30"/>
        <v> </v>
      </c>
      <c r="K256" s="31" t="str">
        <f t="shared" si="27"/>
        <v> </v>
      </c>
      <c r="L256" s="31" t="str">
        <f>IF(K256=" "," ",($L$26-$D$3*$F$12)*((K256/$F$12)-($C$18/(PI()))*SIN((PI()*K256)/$F$12))+$D$3*K256)</f>
        <v> </v>
      </c>
      <c r="M256" s="31" t="str">
        <f t="shared" si="31"/>
        <v> </v>
      </c>
    </row>
    <row r="257" spans="1:13">
      <c r="A257" s="31" t="str">
        <f t="shared" si="24"/>
        <v> </v>
      </c>
      <c r="B257" s="31" t="str">
        <f>IF(A257=" "," ",($B$26-$B$3*($F$9))*((A257/($F$9))-($C$18/(PI()))*SIN((PI()*A257)/($F$9)))+$B$3*A257)</f>
        <v> </v>
      </c>
      <c r="C257" s="31" t="str">
        <f t="shared" si="28"/>
        <v> </v>
      </c>
      <c r="D257" s="31" t="str">
        <f t="shared" si="25"/>
        <v> </v>
      </c>
      <c r="E257" s="31" t="str">
        <f>IF(D257=" "," ",($E$26-$B$3*($F$8))*((D257/($F$8))-($C$18/(PI()))*SIN((PI()*D257)/($F$8)))+$B$3*D257)</f>
        <v> </v>
      </c>
      <c r="F257" s="31" t="str">
        <f t="shared" si="29"/>
        <v> </v>
      </c>
      <c r="G257" s="31"/>
      <c r="H257" s="31" t="str">
        <f t="shared" si="26"/>
        <v> </v>
      </c>
      <c r="I257" s="31" t="str">
        <f>IF(H257=" "," ",($I$26-$D$3*$F$13)*((H257/$F$13)-($C$18/(PI()))*SIN((PI()*H257)/$F$13))+$D$3*H257)</f>
        <v> </v>
      </c>
      <c r="J257" s="31" t="str">
        <f t="shared" si="30"/>
        <v> </v>
      </c>
      <c r="K257" s="31" t="str">
        <f t="shared" si="27"/>
        <v> </v>
      </c>
      <c r="L257" s="31" t="str">
        <f>IF(K257=" "," ",($L$26-$D$3*$F$12)*((K257/$F$12)-($C$18/(PI()))*SIN((PI()*K257)/$F$12))+$D$3*K257)</f>
        <v> </v>
      </c>
      <c r="M257" s="31" t="str">
        <f t="shared" si="31"/>
        <v> </v>
      </c>
    </row>
    <row r="258" spans="1:13">
      <c r="A258" s="31" t="str">
        <f t="shared" si="24"/>
        <v> </v>
      </c>
      <c r="B258" s="31" t="str">
        <f>IF(A258=" "," ",($B$26-$B$3*($F$9))*((A258/($F$9))-($C$18/(PI()))*SIN((PI()*A258)/($F$9)))+$B$3*A258)</f>
        <v> </v>
      </c>
      <c r="C258" s="31" t="str">
        <f t="shared" si="28"/>
        <v> </v>
      </c>
      <c r="D258" s="31" t="str">
        <f t="shared" si="25"/>
        <v> </v>
      </c>
      <c r="E258" s="31" t="str">
        <f>IF(D258=" "," ",($E$26-$B$3*($F$8))*((D258/($F$8))-($C$18/(PI()))*SIN((PI()*D258)/($F$8)))+$B$3*D258)</f>
        <v> </v>
      </c>
      <c r="F258" s="31" t="str">
        <f t="shared" si="29"/>
        <v> </v>
      </c>
      <c r="G258" s="31"/>
      <c r="H258" s="31" t="str">
        <f t="shared" si="26"/>
        <v> </v>
      </c>
      <c r="I258" s="31" t="str">
        <f>IF(H258=" "," ",($I$26-$D$3*$F$13)*((H258/$F$13)-($C$18/(PI()))*SIN((PI()*H258)/$F$13))+$D$3*H258)</f>
        <v> </v>
      </c>
      <c r="J258" s="31" t="str">
        <f t="shared" si="30"/>
        <v> </v>
      </c>
      <c r="K258" s="31" t="str">
        <f t="shared" si="27"/>
        <v> </v>
      </c>
      <c r="L258" s="31" t="str">
        <f>IF(K258=" "," ",($L$26-$D$3*$F$12)*((K258/$F$12)-($C$18/(PI()))*SIN((PI()*K258)/$F$12))+$D$3*K258)</f>
        <v> </v>
      </c>
      <c r="M258" s="31" t="str">
        <f t="shared" si="31"/>
        <v> </v>
      </c>
    </row>
    <row r="259" spans="1:13">
      <c r="A259" s="31" t="str">
        <f t="shared" si="24"/>
        <v> </v>
      </c>
      <c r="B259" s="31" t="str">
        <f>IF(A259=" "," ",($B$26-$B$3*($F$9))*((A259/($F$9))-($C$18/(PI()))*SIN((PI()*A259)/($F$9)))+$B$3*A259)</f>
        <v> </v>
      </c>
      <c r="C259" s="31" t="str">
        <f t="shared" si="28"/>
        <v> </v>
      </c>
      <c r="D259" s="31" t="str">
        <f t="shared" si="25"/>
        <v> </v>
      </c>
      <c r="E259" s="31" t="str">
        <f>IF(D259=" "," ",($E$26-$B$3*($F$8))*((D259/($F$8))-($C$18/(PI()))*SIN((PI()*D259)/($F$8)))+$B$3*D259)</f>
        <v> </v>
      </c>
      <c r="F259" s="31" t="str">
        <f t="shared" si="29"/>
        <v> </v>
      </c>
      <c r="G259" s="31"/>
      <c r="H259" s="31" t="str">
        <f t="shared" si="26"/>
        <v> </v>
      </c>
      <c r="I259" s="31" t="str">
        <f>IF(H259=" "," ",($I$26-$D$3*$F$13)*((H259/$F$13)-($C$18/(PI()))*SIN((PI()*H259)/$F$13))+$D$3*H259)</f>
        <v> </v>
      </c>
      <c r="J259" s="31" t="str">
        <f t="shared" si="30"/>
        <v> </v>
      </c>
      <c r="K259" s="31" t="str">
        <f t="shared" si="27"/>
        <v> </v>
      </c>
      <c r="L259" s="31" t="str">
        <f>IF(K259=" "," ",($L$26-$D$3*$F$12)*((K259/$F$12)-($C$18/(PI()))*SIN((PI()*K259)/$F$12))+$D$3*K259)</f>
        <v> </v>
      </c>
      <c r="M259" s="31" t="str">
        <f t="shared" si="31"/>
        <v> </v>
      </c>
    </row>
    <row r="260" spans="1:13">
      <c r="A260" s="31" t="str">
        <f t="shared" si="24"/>
        <v> </v>
      </c>
      <c r="B260" s="31" t="str">
        <f>IF(A260=" "," ",($B$26-$B$3*($F$9))*((A260/($F$9))-($C$18/(PI()))*SIN((PI()*A260)/($F$9)))+$B$3*A260)</f>
        <v> </v>
      </c>
      <c r="C260" s="31" t="str">
        <f t="shared" si="28"/>
        <v> </v>
      </c>
      <c r="D260" s="31" t="str">
        <f t="shared" si="25"/>
        <v> </v>
      </c>
      <c r="E260" s="31" t="str">
        <f>IF(D260=" "," ",($E$26-$B$3*($F$8))*((D260/($F$8))-($C$18/(PI()))*SIN((PI()*D260)/($F$8)))+$B$3*D260)</f>
        <v> </v>
      </c>
      <c r="F260" s="31" t="str">
        <f t="shared" si="29"/>
        <v> </v>
      </c>
      <c r="G260" s="31"/>
      <c r="H260" s="31" t="str">
        <f t="shared" si="26"/>
        <v> </v>
      </c>
      <c r="I260" s="31" t="str">
        <f>IF(H260=" "," ",($I$26-$D$3*$F$13)*((H260/$F$13)-($C$18/(PI()))*SIN((PI()*H260)/$F$13))+$D$3*H260)</f>
        <v> </v>
      </c>
      <c r="J260" s="31" t="str">
        <f t="shared" si="30"/>
        <v> </v>
      </c>
      <c r="K260" s="31" t="str">
        <f t="shared" si="27"/>
        <v> </v>
      </c>
      <c r="L260" s="31" t="str">
        <f>IF(K260=" "," ",($L$26-$D$3*$F$12)*((K260/$F$12)-($C$18/(PI()))*SIN((PI()*K260)/$F$12))+$D$3*K260)</f>
        <v> </v>
      </c>
      <c r="M260" s="31" t="str">
        <f t="shared" si="31"/>
        <v> </v>
      </c>
    </row>
    <row r="261" spans="1:13">
      <c r="A261" s="31" t="str">
        <f t="shared" si="24"/>
        <v> </v>
      </c>
      <c r="B261" s="31" t="str">
        <f>IF(A261=" "," ",($B$26-$B$3*($F$9))*((A261/($F$9))-($C$18/(PI()))*SIN((PI()*A261)/($F$9)))+$B$3*A261)</f>
        <v> </v>
      </c>
      <c r="C261" s="31" t="str">
        <f t="shared" si="28"/>
        <v> </v>
      </c>
      <c r="D261" s="31" t="str">
        <f t="shared" si="25"/>
        <v> </v>
      </c>
      <c r="E261" s="31" t="str">
        <f>IF(D261=" "," ",($E$26-$B$3*($F$8))*((D261/($F$8))-($C$18/(PI()))*SIN((PI()*D261)/($F$8)))+$B$3*D261)</f>
        <v> </v>
      </c>
      <c r="F261" s="31" t="str">
        <f t="shared" si="29"/>
        <v> </v>
      </c>
      <c r="G261" s="31"/>
      <c r="H261" s="31" t="str">
        <f t="shared" si="26"/>
        <v> </v>
      </c>
      <c r="I261" s="31" t="str">
        <f>IF(H261=" "," ",($I$26-$D$3*$F$13)*((H261/$F$13)-($C$18/(PI()))*SIN((PI()*H261)/$F$13))+$D$3*H261)</f>
        <v> </v>
      </c>
      <c r="J261" s="31" t="str">
        <f t="shared" si="30"/>
        <v> </v>
      </c>
      <c r="K261" s="31" t="str">
        <f t="shared" si="27"/>
        <v> </v>
      </c>
      <c r="L261" s="31" t="str">
        <f>IF(K261=" "," ",($L$26-$D$3*$F$12)*((K261/$F$12)-($C$18/(PI()))*SIN((PI()*K261)/$F$12))+$D$3*K261)</f>
        <v> </v>
      </c>
      <c r="M261" s="31" t="str">
        <f t="shared" si="31"/>
        <v> </v>
      </c>
    </row>
    <row r="262" spans="1:13">
      <c r="A262" s="31" t="str">
        <f t="shared" si="24"/>
        <v> </v>
      </c>
      <c r="B262" s="31" t="str">
        <f>IF(A262=" "," ",($B$26-$B$3*($F$9))*((A262/($F$9))-($C$18/(PI()))*SIN((PI()*A262)/($F$9)))+$B$3*A262)</f>
        <v> </v>
      </c>
      <c r="C262" s="31" t="str">
        <f t="shared" si="28"/>
        <v> </v>
      </c>
      <c r="D262" s="31" t="str">
        <f t="shared" si="25"/>
        <v> </v>
      </c>
      <c r="E262" s="31" t="str">
        <f>IF(D262=" "," ",($E$26-$B$3*($F$8))*((D262/($F$8))-($C$18/(PI()))*SIN((PI()*D262)/($F$8)))+$B$3*D262)</f>
        <v> </v>
      </c>
      <c r="F262" s="31" t="str">
        <f t="shared" si="29"/>
        <v> </v>
      </c>
      <c r="G262" s="31"/>
      <c r="H262" s="31" t="str">
        <f t="shared" si="26"/>
        <v> </v>
      </c>
      <c r="I262" s="31" t="str">
        <f>IF(H262=" "," ",($I$26-$D$3*$F$13)*((H262/$F$13)-($C$18/(PI()))*SIN((PI()*H262)/$F$13))+$D$3*H262)</f>
        <v> </v>
      </c>
      <c r="J262" s="31" t="str">
        <f t="shared" si="30"/>
        <v> </v>
      </c>
      <c r="K262" s="31" t="str">
        <f t="shared" si="27"/>
        <v> </v>
      </c>
      <c r="L262" s="31" t="str">
        <f>IF(K262=" "," ",($L$26-$D$3*$F$12)*((K262/$F$12)-($C$18/(PI()))*SIN((PI()*K262)/$F$12))+$D$3*K262)</f>
        <v> </v>
      </c>
      <c r="M262" s="31" t="str">
        <f t="shared" si="31"/>
        <v> </v>
      </c>
    </row>
    <row r="263" spans="1:13">
      <c r="A263" s="31" t="str">
        <f t="shared" si="24"/>
        <v> </v>
      </c>
      <c r="B263" s="31" t="str">
        <f>IF(A263=" "," ",($B$26-$B$3*($F$9))*((A263/($F$9))-($C$18/(PI()))*SIN((PI()*A263)/($F$9)))+$B$3*A263)</f>
        <v> </v>
      </c>
      <c r="C263" s="31" t="str">
        <f t="shared" si="28"/>
        <v> </v>
      </c>
      <c r="D263" s="31" t="str">
        <f t="shared" si="25"/>
        <v> </v>
      </c>
      <c r="E263" s="31" t="str">
        <f>IF(D263=" "," ",($E$26-$B$3*($F$8))*((D263/($F$8))-($C$18/(PI()))*SIN((PI()*D263)/($F$8)))+$B$3*D263)</f>
        <v> </v>
      </c>
      <c r="F263" s="31" t="str">
        <f t="shared" si="29"/>
        <v> </v>
      </c>
      <c r="G263" s="31"/>
      <c r="H263" s="31" t="str">
        <f t="shared" si="26"/>
        <v> </v>
      </c>
      <c r="I263" s="31" t="str">
        <f>IF(H263=" "," ",($I$26-$D$3*$F$13)*((H263/$F$13)-($C$18/(PI()))*SIN((PI()*H263)/$F$13))+$D$3*H263)</f>
        <v> </v>
      </c>
      <c r="J263" s="31" t="str">
        <f t="shared" si="30"/>
        <v> </v>
      </c>
      <c r="K263" s="31" t="str">
        <f t="shared" si="27"/>
        <v> </v>
      </c>
      <c r="L263" s="31" t="str">
        <f>IF(K263=" "," ",($L$26-$D$3*$F$12)*((K263/$F$12)-($C$18/(PI()))*SIN((PI()*K263)/$F$12))+$D$3*K263)</f>
        <v> </v>
      </c>
      <c r="M263" s="31" t="str">
        <f t="shared" si="31"/>
        <v> </v>
      </c>
    </row>
    <row r="264" spans="1:13">
      <c r="A264" s="31" t="str">
        <f t="shared" si="24"/>
        <v> </v>
      </c>
      <c r="B264" s="31" t="str">
        <f>IF(A264=" "," ",($B$26-$B$3*($F$9))*((A264/($F$9))-($C$18/(PI()))*SIN((PI()*A264)/($F$9)))+$B$3*A264)</f>
        <v> </v>
      </c>
      <c r="C264" s="31" t="str">
        <f t="shared" si="28"/>
        <v> </v>
      </c>
      <c r="D264" s="31" t="str">
        <f t="shared" si="25"/>
        <v> </v>
      </c>
      <c r="E264" s="31" t="str">
        <f>IF(D264=" "," ",($E$26-$B$3*($F$8))*((D264/($F$8))-($C$18/(PI()))*SIN((PI()*D264)/($F$8)))+$B$3*D264)</f>
        <v> </v>
      </c>
      <c r="F264" s="31" t="str">
        <f t="shared" si="29"/>
        <v> </v>
      </c>
      <c r="G264" s="31"/>
      <c r="H264" s="31" t="str">
        <f t="shared" si="26"/>
        <v> </v>
      </c>
      <c r="I264" s="31" t="str">
        <f>IF(H264=" "," ",($I$26-$D$3*$F$13)*((H264/$F$13)-($C$18/(PI()))*SIN((PI()*H264)/$F$13))+$D$3*H264)</f>
        <v> </v>
      </c>
      <c r="J264" s="31" t="str">
        <f t="shared" si="30"/>
        <v> </v>
      </c>
      <c r="K264" s="31" t="str">
        <f t="shared" si="27"/>
        <v> </v>
      </c>
      <c r="L264" s="31" t="str">
        <f>IF(K264=" "," ",($L$26-$D$3*$F$12)*((K264/$F$12)-($C$18/(PI()))*SIN((PI()*K264)/$F$12))+$D$3*K264)</f>
        <v> </v>
      </c>
      <c r="M264" s="31" t="str">
        <f t="shared" si="31"/>
        <v> </v>
      </c>
    </row>
    <row r="265" spans="1:13">
      <c r="A265" s="31" t="str">
        <f t="shared" si="24"/>
        <v> </v>
      </c>
      <c r="B265" s="31" t="str">
        <f>IF(A265=" "," ",($B$26-$B$3*($F$9))*((A265/($F$9))-($C$18/(PI()))*SIN((PI()*A265)/($F$9)))+$B$3*A265)</f>
        <v> </v>
      </c>
      <c r="C265" s="31" t="str">
        <f t="shared" si="28"/>
        <v> </v>
      </c>
      <c r="D265" s="31" t="str">
        <f t="shared" si="25"/>
        <v> </v>
      </c>
      <c r="E265" s="31" t="str">
        <f>IF(D265=" "," ",($E$26-$B$3*($F$8))*((D265/($F$8))-($C$18/(PI()))*SIN((PI()*D265)/($F$8)))+$B$3*D265)</f>
        <v> </v>
      </c>
      <c r="F265" s="31" t="str">
        <f t="shared" si="29"/>
        <v> </v>
      </c>
      <c r="G265" s="31"/>
      <c r="H265" s="31" t="str">
        <f t="shared" si="26"/>
        <v> </v>
      </c>
      <c r="I265" s="31" t="str">
        <f>IF(H265=" "," ",($I$26-$D$3*$F$13)*((H265/$F$13)-($C$18/(PI()))*SIN((PI()*H265)/$F$13))+$D$3*H265)</f>
        <v> </v>
      </c>
      <c r="J265" s="31" t="str">
        <f t="shared" si="30"/>
        <v> </v>
      </c>
      <c r="K265" s="31" t="str">
        <f t="shared" si="27"/>
        <v> </v>
      </c>
      <c r="L265" s="31" t="str">
        <f>IF(K265=" "," ",($L$26-$D$3*$F$12)*((K265/$F$12)-($C$18/(PI()))*SIN((PI()*K265)/$F$12))+$D$3*K265)</f>
        <v> </v>
      </c>
      <c r="M265" s="31" t="str">
        <f t="shared" si="31"/>
        <v> </v>
      </c>
    </row>
    <row r="266" spans="1:13">
      <c r="A266" s="31" t="str">
        <f t="shared" si="24"/>
        <v> </v>
      </c>
      <c r="B266" s="31" t="str">
        <f>IF(A266=" "," ",($B$26-$B$3*($F$9))*((A266/($F$9))-($C$18/(PI()))*SIN((PI()*A266)/($F$9)))+$B$3*A266)</f>
        <v> </v>
      </c>
      <c r="C266" s="31" t="str">
        <f t="shared" si="28"/>
        <v> </v>
      </c>
      <c r="D266" s="31" t="str">
        <f t="shared" si="25"/>
        <v> </v>
      </c>
      <c r="E266" s="31" t="str">
        <f>IF(D266=" "," ",($E$26-$B$3*($F$8))*((D266/($F$8))-($C$18/(PI()))*SIN((PI()*D266)/($F$8)))+$B$3*D266)</f>
        <v> </v>
      </c>
      <c r="F266" s="31" t="str">
        <f t="shared" si="29"/>
        <v> </v>
      </c>
      <c r="G266" s="31"/>
      <c r="H266" s="31" t="str">
        <f t="shared" si="26"/>
        <v> </v>
      </c>
      <c r="I266" s="31" t="str">
        <f>IF(H266=" "," ",($I$26-$D$3*$F$13)*((H266/$F$13)-($C$18/(PI()))*SIN((PI()*H266)/$F$13))+$D$3*H266)</f>
        <v> </v>
      </c>
      <c r="J266" s="31" t="str">
        <f t="shared" si="30"/>
        <v> </v>
      </c>
      <c r="K266" s="31" t="str">
        <f t="shared" si="27"/>
        <v> </v>
      </c>
      <c r="L266" s="31" t="str">
        <f>IF(K266=" "," ",($L$26-$D$3*$F$12)*((K266/$F$12)-($C$18/(PI()))*SIN((PI()*K266)/$F$12))+$D$3*K266)</f>
        <v> </v>
      </c>
      <c r="M266" s="31" t="str">
        <f t="shared" si="31"/>
        <v> </v>
      </c>
    </row>
    <row r="267" spans="1:13">
      <c r="A267" s="31" t="str">
        <f t="shared" si="24"/>
        <v> </v>
      </c>
      <c r="B267" s="31" t="str">
        <f>IF(A267=" "," ",($B$26-$B$3*($F$9))*((A267/($F$9))-($C$18/(PI()))*SIN((PI()*A267)/($F$9)))+$B$3*A267)</f>
        <v> </v>
      </c>
      <c r="C267" s="31" t="str">
        <f t="shared" si="28"/>
        <v> </v>
      </c>
      <c r="D267" s="31" t="str">
        <f t="shared" si="25"/>
        <v> </v>
      </c>
      <c r="E267" s="31" t="str">
        <f>IF(D267=" "," ",($E$26-$B$3*($F$8))*((D267/($F$8))-($C$18/(PI()))*SIN((PI()*D267)/($F$8)))+$B$3*D267)</f>
        <v> </v>
      </c>
      <c r="F267" s="31" t="str">
        <f t="shared" si="29"/>
        <v> </v>
      </c>
      <c r="G267" s="31"/>
      <c r="H267" s="31" t="str">
        <f t="shared" si="26"/>
        <v> </v>
      </c>
      <c r="I267" s="31" t="str">
        <f>IF(H267=" "," ",($I$26-$D$3*$F$13)*((H267/$F$13)-($C$18/(PI()))*SIN((PI()*H267)/$F$13))+$D$3*H267)</f>
        <v> </v>
      </c>
      <c r="J267" s="31" t="str">
        <f t="shared" si="30"/>
        <v> </v>
      </c>
      <c r="K267" s="31" t="str">
        <f t="shared" si="27"/>
        <v> </v>
      </c>
      <c r="L267" s="31" t="str">
        <f>IF(K267=" "," ",($L$26-$D$3*$F$12)*((K267/$F$12)-($C$18/(PI()))*SIN((PI()*K267)/$F$12))+$D$3*K267)</f>
        <v> </v>
      </c>
      <c r="M267" s="31" t="str">
        <f t="shared" si="31"/>
        <v> </v>
      </c>
    </row>
    <row r="268" spans="1:13">
      <c r="A268" s="31" t="str">
        <f t="shared" si="24"/>
        <v> </v>
      </c>
      <c r="B268" s="31" t="str">
        <f>IF(A268=" "," ",($B$26-$B$3*($F$9))*((A268/($F$9))-($C$18/(PI()))*SIN((PI()*A268)/($F$9)))+$B$3*A268)</f>
        <v> </v>
      </c>
      <c r="C268" s="31" t="str">
        <f t="shared" si="28"/>
        <v> </v>
      </c>
      <c r="D268" s="31" t="str">
        <f t="shared" si="25"/>
        <v> </v>
      </c>
      <c r="E268" s="31" t="str">
        <f>IF(D268=" "," ",($E$26-$B$3*($F$8))*((D268/($F$8))-($C$18/(PI()))*SIN((PI()*D268)/($F$8)))+$B$3*D268)</f>
        <v> </v>
      </c>
      <c r="F268" s="31" t="str">
        <f t="shared" si="29"/>
        <v> </v>
      </c>
      <c r="G268" s="31"/>
      <c r="H268" s="31" t="str">
        <f t="shared" si="26"/>
        <v> </v>
      </c>
      <c r="I268" s="31" t="str">
        <f>IF(H268=" "," ",($I$26-$D$3*$F$13)*((H268/$F$13)-($C$18/(PI()))*SIN((PI()*H268)/$F$13))+$D$3*H268)</f>
        <v> </v>
      </c>
      <c r="J268" s="31" t="str">
        <f t="shared" si="30"/>
        <v> </v>
      </c>
      <c r="K268" s="31" t="str">
        <f t="shared" si="27"/>
        <v> </v>
      </c>
      <c r="L268" s="31" t="str">
        <f>IF(K268=" "," ",($L$26-$D$3*$F$12)*((K268/$F$12)-($C$18/(PI()))*SIN((PI()*K268)/$F$12))+$D$3*K268)</f>
        <v> </v>
      </c>
      <c r="M268" s="31" t="str">
        <f t="shared" si="31"/>
        <v> </v>
      </c>
    </row>
    <row r="269" spans="1:13">
      <c r="A269" s="31" t="str">
        <f t="shared" si="24"/>
        <v> </v>
      </c>
      <c r="B269" s="31" t="str">
        <f>IF(A269=" "," ",($B$26-$B$3*($F$9))*((A269/($F$9))-($C$18/(PI()))*SIN((PI()*A269)/($F$9)))+$B$3*A269)</f>
        <v> </v>
      </c>
      <c r="C269" s="31" t="str">
        <f t="shared" si="28"/>
        <v> </v>
      </c>
      <c r="D269" s="31" t="str">
        <f t="shared" si="25"/>
        <v> </v>
      </c>
      <c r="E269" s="31" t="str">
        <f>IF(D269=" "," ",($E$26-$B$3*($F$8))*((D269/($F$8))-($C$18/(PI()))*SIN((PI()*D269)/($F$8)))+$B$3*D269)</f>
        <v> </v>
      </c>
      <c r="F269" s="31" t="str">
        <f t="shared" si="29"/>
        <v> </v>
      </c>
      <c r="G269" s="31"/>
      <c r="H269" s="31" t="str">
        <f t="shared" si="26"/>
        <v> </v>
      </c>
      <c r="I269" s="31" t="str">
        <f>IF(H269=" "," ",($I$26-$D$3*$F$13)*((H269/$F$13)-($C$18/(PI()))*SIN((PI()*H269)/$F$13))+$D$3*H269)</f>
        <v> </v>
      </c>
      <c r="J269" s="31" t="str">
        <f t="shared" si="30"/>
        <v> </v>
      </c>
      <c r="K269" s="31" t="str">
        <f t="shared" si="27"/>
        <v> </v>
      </c>
      <c r="L269" s="31" t="str">
        <f>IF(K269=" "," ",($L$26-$D$3*$F$12)*((K269/$F$12)-($C$18/(PI()))*SIN((PI()*K269)/$F$12))+$D$3*K269)</f>
        <v> </v>
      </c>
      <c r="M269" s="31" t="str">
        <f t="shared" si="31"/>
        <v> </v>
      </c>
    </row>
    <row r="270" spans="1:13">
      <c r="A270" s="31" t="str">
        <f t="shared" si="24"/>
        <v> </v>
      </c>
      <c r="B270" s="31" t="str">
        <f>IF(A270=" "," ",($B$26-$B$3*($F$9))*((A270/($F$9))-($C$18/(PI()))*SIN((PI()*A270)/($F$9)))+$B$3*A270)</f>
        <v> </v>
      </c>
      <c r="C270" s="31" t="str">
        <f t="shared" si="28"/>
        <v> </v>
      </c>
      <c r="D270" s="31" t="str">
        <f t="shared" si="25"/>
        <v> </v>
      </c>
      <c r="E270" s="31" t="str">
        <f>IF(D270=" "," ",($E$26-$B$3*($F$8))*((D270/($F$8))-($C$18/(PI()))*SIN((PI()*D270)/($F$8)))+$B$3*D270)</f>
        <v> </v>
      </c>
      <c r="F270" s="31" t="str">
        <f t="shared" si="29"/>
        <v> </v>
      </c>
      <c r="G270" s="31"/>
      <c r="H270" s="31" t="str">
        <f t="shared" si="26"/>
        <v> </v>
      </c>
      <c r="I270" s="31" t="str">
        <f>IF(H270=" "," ",($I$26-$D$3*$F$13)*((H270/$F$13)-($C$18/(PI()))*SIN((PI()*H270)/$F$13))+$D$3*H270)</f>
        <v> </v>
      </c>
      <c r="J270" s="31" t="str">
        <f t="shared" si="30"/>
        <v> </v>
      </c>
      <c r="K270" s="31" t="str">
        <f t="shared" si="27"/>
        <v> </v>
      </c>
      <c r="L270" s="31" t="str">
        <f>IF(K270=" "," ",($L$26-$D$3*$F$12)*((K270/$F$12)-($C$18/(PI()))*SIN((PI()*K270)/$F$12))+$D$3*K270)</f>
        <v> </v>
      </c>
      <c r="M270" s="31" t="str">
        <f t="shared" si="31"/>
        <v> </v>
      </c>
    </row>
    <row r="271" spans="1:13">
      <c r="A271" s="31" t="str">
        <f t="shared" si="24"/>
        <v> </v>
      </c>
      <c r="B271" s="31" t="str">
        <f>IF(A271=" "," ",($B$26-$B$3*($F$9))*((A271/($F$9))-($C$18/(PI()))*SIN((PI()*A271)/($F$9)))+$B$3*A271)</f>
        <v> </v>
      </c>
      <c r="C271" s="31" t="str">
        <f t="shared" si="28"/>
        <v> </v>
      </c>
      <c r="D271" s="31" t="str">
        <f t="shared" si="25"/>
        <v> </v>
      </c>
      <c r="E271" s="31" t="str">
        <f>IF(D271=" "," ",($E$26-$B$3*($F$8))*((D271/($F$8))-($C$18/(PI()))*SIN((PI()*D271)/($F$8)))+$B$3*D271)</f>
        <v> </v>
      </c>
      <c r="F271" s="31" t="str">
        <f t="shared" si="29"/>
        <v> </v>
      </c>
      <c r="G271" s="31"/>
      <c r="H271" s="31" t="str">
        <f t="shared" si="26"/>
        <v> </v>
      </c>
      <c r="I271" s="31" t="str">
        <f>IF(H271=" "," ",($I$26-$D$3*$F$13)*((H271/$F$13)-($C$18/(PI()))*SIN((PI()*H271)/$F$13))+$D$3*H271)</f>
        <v> </v>
      </c>
      <c r="J271" s="31" t="str">
        <f t="shared" si="30"/>
        <v> </v>
      </c>
      <c r="K271" s="31" t="str">
        <f t="shared" si="27"/>
        <v> </v>
      </c>
      <c r="L271" s="31" t="str">
        <f>IF(K271=" "," ",($L$26-$D$3*$F$12)*((K271/$F$12)-($C$18/(PI()))*SIN((PI()*K271)/$F$12))+$D$3*K271)</f>
        <v> </v>
      </c>
      <c r="M271" s="31" t="str">
        <f t="shared" si="31"/>
        <v> </v>
      </c>
    </row>
    <row r="272" spans="1:13">
      <c r="A272" s="31" t="str">
        <f t="shared" si="24"/>
        <v> </v>
      </c>
      <c r="B272" s="31" t="str">
        <f>IF(A272=" "," ",($B$26-$B$3*($F$9))*((A272/($F$9))-($C$18/(PI()))*SIN((PI()*A272)/($F$9)))+$B$3*A272)</f>
        <v> </v>
      </c>
      <c r="C272" s="31" t="str">
        <f t="shared" si="28"/>
        <v> </v>
      </c>
      <c r="D272" s="31" t="str">
        <f t="shared" si="25"/>
        <v> </v>
      </c>
      <c r="E272" s="31" t="str">
        <f>IF(D272=" "," ",($E$26-$B$3*($F$8))*((D272/($F$8))-($C$18/(PI()))*SIN((PI()*D272)/($F$8)))+$B$3*D272)</f>
        <v> </v>
      </c>
      <c r="F272" s="31" t="str">
        <f t="shared" si="29"/>
        <v> </v>
      </c>
      <c r="G272" s="31"/>
      <c r="H272" s="31" t="str">
        <f t="shared" si="26"/>
        <v> </v>
      </c>
      <c r="I272" s="31" t="str">
        <f>IF(H272=" "," ",($I$26-$D$3*$F$13)*((H272/$F$13)-($C$18/(PI()))*SIN((PI()*H272)/$F$13))+$D$3*H272)</f>
        <v> </v>
      </c>
      <c r="J272" s="31" t="str">
        <f t="shared" si="30"/>
        <v> </v>
      </c>
      <c r="K272" s="31" t="str">
        <f t="shared" si="27"/>
        <v> </v>
      </c>
      <c r="L272" s="31" t="str">
        <f>IF(K272=" "," ",($L$26-$D$3*$F$12)*((K272/$F$12)-($C$18/(PI()))*SIN((PI()*K272)/$F$12))+$D$3*K272)</f>
        <v> </v>
      </c>
      <c r="M272" s="31" t="str">
        <f t="shared" si="31"/>
        <v> </v>
      </c>
    </row>
    <row r="273" spans="1:13">
      <c r="A273" s="31" t="str">
        <f t="shared" si="24"/>
        <v> </v>
      </c>
      <c r="B273" s="31" t="str">
        <f>IF(A273=" "," ",($B$26-$B$3*($F$9))*((A273/($F$9))-($C$18/(PI()))*SIN((PI()*A273)/($F$9)))+$B$3*A273)</f>
        <v> </v>
      </c>
      <c r="C273" s="31" t="str">
        <f t="shared" si="28"/>
        <v> </v>
      </c>
      <c r="D273" s="31" t="str">
        <f t="shared" si="25"/>
        <v> </v>
      </c>
      <c r="E273" s="31" t="str">
        <f>IF(D273=" "," ",($E$26-$B$3*($F$8))*((D273/($F$8))-($C$18/(PI()))*SIN((PI()*D273)/($F$8)))+$B$3*D273)</f>
        <v> </v>
      </c>
      <c r="F273" s="31" t="str">
        <f t="shared" si="29"/>
        <v> </v>
      </c>
      <c r="G273" s="31"/>
      <c r="H273" s="31" t="str">
        <f t="shared" si="26"/>
        <v> </v>
      </c>
      <c r="I273" s="31" t="str">
        <f>IF(H273=" "," ",($I$26-$D$3*$F$13)*((H273/$F$13)-($C$18/(PI()))*SIN((PI()*H273)/$F$13))+$D$3*H273)</f>
        <v> </v>
      </c>
      <c r="J273" s="31" t="str">
        <f t="shared" si="30"/>
        <v> </v>
      </c>
      <c r="K273" s="31" t="str">
        <f t="shared" si="27"/>
        <v> </v>
      </c>
      <c r="L273" s="31" t="str">
        <f>IF(K273=" "," ",($L$26-$D$3*$F$12)*((K273/$F$12)-($C$18/(PI()))*SIN((PI()*K273)/$F$12))+$D$3*K273)</f>
        <v> </v>
      </c>
      <c r="M273" s="31" t="str">
        <f t="shared" si="31"/>
        <v> </v>
      </c>
    </row>
    <row r="274" spans="1:13">
      <c r="A274" s="31" t="str">
        <f t="shared" si="24"/>
        <v> </v>
      </c>
      <c r="B274" s="31" t="str">
        <f>IF(A274=" "," ",($B$26-$B$3*($F$9))*((A274/($F$9))-($C$18/(PI()))*SIN((PI()*A274)/($F$9)))+$B$3*A274)</f>
        <v> </v>
      </c>
      <c r="C274" s="31" t="str">
        <f t="shared" si="28"/>
        <v> </v>
      </c>
      <c r="D274" s="31" t="str">
        <f t="shared" si="25"/>
        <v> </v>
      </c>
      <c r="E274" s="31" t="str">
        <f>IF(D274=" "," ",($E$26-$B$3*($F$8))*((D274/($F$8))-($C$18/(PI()))*SIN((PI()*D274)/($F$8)))+$B$3*D274)</f>
        <v> </v>
      </c>
      <c r="F274" s="31" t="str">
        <f t="shared" si="29"/>
        <v> </v>
      </c>
      <c r="G274" s="31"/>
      <c r="H274" s="31" t="str">
        <f t="shared" si="26"/>
        <v> </v>
      </c>
      <c r="I274" s="31" t="str">
        <f>IF(H274=" "," ",($I$26-$D$3*$F$13)*((H274/$F$13)-($C$18/(PI()))*SIN((PI()*H274)/$F$13))+$D$3*H274)</f>
        <v> </v>
      </c>
      <c r="J274" s="31" t="str">
        <f t="shared" si="30"/>
        <v> </v>
      </c>
      <c r="K274" s="31" t="str">
        <f t="shared" si="27"/>
        <v> </v>
      </c>
      <c r="L274" s="31" t="str">
        <f>IF(K274=" "," ",($L$26-$D$3*$F$12)*((K274/$F$12)-($C$18/(PI()))*SIN((PI()*K274)/$F$12))+$D$3*K274)</f>
        <v> </v>
      </c>
      <c r="M274" s="31" t="str">
        <f t="shared" si="31"/>
        <v> </v>
      </c>
    </row>
    <row r="275" spans="1:13">
      <c r="A275" s="31" t="str">
        <f t="shared" si="24"/>
        <v> </v>
      </c>
      <c r="B275" s="31" t="str">
        <f>IF(A275=" "," ",($B$26-$B$3*($F$9))*((A275/($F$9))-($C$18/(PI()))*SIN((PI()*A275)/($F$9)))+$B$3*A275)</f>
        <v> </v>
      </c>
      <c r="C275" s="31" t="str">
        <f t="shared" si="28"/>
        <v> </v>
      </c>
      <c r="D275" s="31" t="str">
        <f t="shared" si="25"/>
        <v> </v>
      </c>
      <c r="E275" s="31" t="str">
        <f>IF(D275=" "," ",($E$26-$B$3*($F$8))*((D275/($F$8))-($C$18/(PI()))*SIN((PI()*D275)/($F$8)))+$B$3*D275)</f>
        <v> </v>
      </c>
      <c r="F275" s="31" t="str">
        <f t="shared" si="29"/>
        <v> </v>
      </c>
      <c r="G275" s="31"/>
      <c r="H275" s="31" t="str">
        <f t="shared" si="26"/>
        <v> </v>
      </c>
      <c r="I275" s="31" t="str">
        <f>IF(H275=" "," ",($I$26-$D$3*$F$13)*((H275/$F$13)-($C$18/(PI()))*SIN((PI()*H275)/$F$13))+$D$3*H275)</f>
        <v> </v>
      </c>
      <c r="J275" s="31" t="str">
        <f t="shared" si="30"/>
        <v> </v>
      </c>
      <c r="K275" s="31" t="str">
        <f t="shared" si="27"/>
        <v> </v>
      </c>
      <c r="L275" s="31" t="str">
        <f>IF(K275=" "," ",($L$26-$D$3*$F$12)*((K275/$F$12)-($C$18/(PI()))*SIN((PI()*K275)/$F$12))+$D$3*K275)</f>
        <v> </v>
      </c>
      <c r="M275" s="31" t="str">
        <f t="shared" si="31"/>
        <v> </v>
      </c>
    </row>
    <row r="276" spans="1:13">
      <c r="A276" s="31" t="str">
        <f t="shared" si="24"/>
        <v> </v>
      </c>
      <c r="B276" s="31" t="str">
        <f>IF(A276=" "," ",($B$26-$B$3*($F$9))*((A276/($F$9))-($C$18/(PI()))*SIN((PI()*A276)/($F$9)))+$B$3*A276)</f>
        <v> </v>
      </c>
      <c r="C276" s="31" t="str">
        <f t="shared" si="28"/>
        <v> </v>
      </c>
      <c r="D276" s="31" t="str">
        <f t="shared" si="25"/>
        <v> </v>
      </c>
      <c r="E276" s="31" t="str">
        <f>IF(D276=" "," ",($E$26-$B$3*($F$8))*((D276/($F$8))-($C$18/(PI()))*SIN((PI()*D276)/($F$8)))+$B$3*D276)</f>
        <v> </v>
      </c>
      <c r="F276" s="31" t="str">
        <f t="shared" si="29"/>
        <v> </v>
      </c>
      <c r="G276" s="31"/>
      <c r="H276" s="31" t="str">
        <f t="shared" si="26"/>
        <v> </v>
      </c>
      <c r="I276" s="31" t="str">
        <f>IF(H276=" "," ",($I$26-$D$3*$F$13)*((H276/$F$13)-($C$18/(PI()))*SIN((PI()*H276)/$F$13))+$D$3*H276)</f>
        <v> </v>
      </c>
      <c r="J276" s="31" t="str">
        <f t="shared" si="30"/>
        <v> </v>
      </c>
      <c r="K276" s="31" t="str">
        <f t="shared" si="27"/>
        <v> </v>
      </c>
      <c r="L276" s="31" t="str">
        <f>IF(K276=" "," ",($L$26-$D$3*$F$12)*((K276/$F$12)-($C$18/(PI()))*SIN((PI()*K276)/$F$12))+$D$3*K276)</f>
        <v> </v>
      </c>
      <c r="M276" s="31" t="str">
        <f t="shared" si="31"/>
        <v> </v>
      </c>
    </row>
    <row r="277" spans="1:13">
      <c r="A277" s="31" t="str">
        <f t="shared" si="24"/>
        <v> </v>
      </c>
      <c r="B277" s="31" t="str">
        <f>IF(A277=" "," ",($B$26-$B$3*($F$9))*((A277/($F$9))-($C$18/(PI()))*SIN((PI()*A277)/($F$9)))+$B$3*A277)</f>
        <v> </v>
      </c>
      <c r="C277" s="31" t="str">
        <f t="shared" si="28"/>
        <v> </v>
      </c>
      <c r="D277" s="31" t="str">
        <f t="shared" si="25"/>
        <v> </v>
      </c>
      <c r="E277" s="31" t="str">
        <f>IF(D277=" "," ",($E$26-$B$3*($F$8))*((D277/($F$8))-($C$18/(PI()))*SIN((PI()*D277)/($F$8)))+$B$3*D277)</f>
        <v> </v>
      </c>
      <c r="F277" s="31" t="str">
        <f t="shared" si="29"/>
        <v> </v>
      </c>
      <c r="G277" s="31"/>
      <c r="H277" s="31" t="str">
        <f t="shared" si="26"/>
        <v> </v>
      </c>
      <c r="I277" s="31" t="str">
        <f>IF(H277=" "," ",($I$26-$D$3*$F$13)*((H277/$F$13)-($C$18/(PI()))*SIN((PI()*H277)/$F$13))+$D$3*H277)</f>
        <v> </v>
      </c>
      <c r="J277" s="31" t="str">
        <f t="shared" si="30"/>
        <v> </v>
      </c>
      <c r="K277" s="31" t="str">
        <f t="shared" si="27"/>
        <v> </v>
      </c>
      <c r="L277" s="31" t="str">
        <f>IF(K277=" "," ",($L$26-$D$3*$F$12)*((K277/$F$12)-($C$18/(PI()))*SIN((PI()*K277)/$F$12))+$D$3*K277)</f>
        <v> </v>
      </c>
      <c r="M277" s="31" t="str">
        <f t="shared" si="31"/>
        <v> </v>
      </c>
    </row>
    <row r="278" spans="1:13">
      <c r="A278" s="31" t="str">
        <f t="shared" si="24"/>
        <v> </v>
      </c>
      <c r="B278" s="31" t="str">
        <f>IF(A278=" "," ",($B$26-$B$3*($F$9))*((A278/($F$9))-($C$18/(PI()))*SIN((PI()*A278)/($F$9)))+$B$3*A278)</f>
        <v> </v>
      </c>
      <c r="C278" s="31" t="str">
        <f t="shared" si="28"/>
        <v> </v>
      </c>
      <c r="D278" s="31" t="str">
        <f t="shared" si="25"/>
        <v> </v>
      </c>
      <c r="E278" s="31" t="str">
        <f>IF(D278=" "," ",($E$26-$B$3*($F$8))*((D278/($F$8))-($C$18/(PI()))*SIN((PI()*D278)/($F$8)))+$B$3*D278)</f>
        <v> </v>
      </c>
      <c r="F278" s="31" t="str">
        <f t="shared" si="29"/>
        <v> </v>
      </c>
      <c r="G278" s="31"/>
      <c r="H278" s="31" t="str">
        <f t="shared" si="26"/>
        <v> </v>
      </c>
      <c r="I278" s="31" t="str">
        <f>IF(H278=" "," ",($I$26-$D$3*$F$13)*((H278/$F$13)-($C$18/(PI()))*SIN((PI()*H278)/$F$13))+$D$3*H278)</f>
        <v> </v>
      </c>
      <c r="J278" s="31" t="str">
        <f t="shared" si="30"/>
        <v> </v>
      </c>
      <c r="K278" s="31" t="str">
        <f t="shared" si="27"/>
        <v> </v>
      </c>
      <c r="L278" s="31" t="str">
        <f>IF(K278=" "," ",($L$26-$D$3*$F$12)*((K278/$F$12)-($C$18/(PI()))*SIN((PI()*K278)/$F$12))+$D$3*K278)</f>
        <v> </v>
      </c>
      <c r="M278" s="31" t="str">
        <f t="shared" si="31"/>
        <v> </v>
      </c>
    </row>
    <row r="279" spans="1:13">
      <c r="A279" s="31" t="str">
        <f t="shared" si="24"/>
        <v> </v>
      </c>
      <c r="B279" s="31" t="str">
        <f>IF(A279=" "," ",($B$26-$B$3*($F$9))*((A279/($F$9))-($C$18/(PI()))*SIN((PI()*A279)/($F$9)))+$B$3*A279)</f>
        <v> </v>
      </c>
      <c r="C279" s="31" t="str">
        <f t="shared" si="28"/>
        <v> </v>
      </c>
      <c r="D279" s="31" t="str">
        <f t="shared" si="25"/>
        <v> </v>
      </c>
      <c r="E279" s="31" t="str">
        <f>IF(D279=" "," ",($E$26-$B$3*($F$8))*((D279/($F$8))-($C$18/(PI()))*SIN((PI()*D279)/($F$8)))+$B$3*D279)</f>
        <v> </v>
      </c>
      <c r="F279" s="31" t="str">
        <f t="shared" si="29"/>
        <v> </v>
      </c>
      <c r="G279" s="31"/>
      <c r="H279" s="31" t="str">
        <f t="shared" si="26"/>
        <v> </v>
      </c>
      <c r="I279" s="31" t="str">
        <f>IF(H279=" "," ",($I$26-$D$3*$F$13)*((H279/$F$13)-($C$18/(PI()))*SIN((PI()*H279)/$F$13))+$D$3*H279)</f>
        <v> </v>
      </c>
      <c r="J279" s="31" t="str">
        <f t="shared" si="30"/>
        <v> </v>
      </c>
      <c r="K279" s="31" t="str">
        <f t="shared" si="27"/>
        <v> </v>
      </c>
      <c r="L279" s="31" t="str">
        <f>IF(K279=" "," ",($L$26-$D$3*$F$12)*((K279/$F$12)-($C$18/(PI()))*SIN((PI()*K279)/$F$12))+$D$3*K279)</f>
        <v> </v>
      </c>
      <c r="M279" s="31" t="str">
        <f t="shared" si="31"/>
        <v> </v>
      </c>
    </row>
    <row r="280" spans="1:13">
      <c r="A280" s="31" t="str">
        <f t="shared" si="24"/>
        <v> </v>
      </c>
      <c r="B280" s="31" t="str">
        <f>IF(A280=" "," ",($B$26-$B$3*($F$9))*((A280/($F$9))-($C$18/(PI()))*SIN((PI()*A280)/($F$9)))+$B$3*A280)</f>
        <v> </v>
      </c>
      <c r="C280" s="31" t="str">
        <f t="shared" si="28"/>
        <v> </v>
      </c>
      <c r="D280" s="31" t="str">
        <f t="shared" si="25"/>
        <v> </v>
      </c>
      <c r="E280" s="31" t="str">
        <f>IF(D280=" "," ",($E$26-$B$3*($F$8))*((D280/($F$8))-($C$18/(PI()))*SIN((PI()*D280)/($F$8)))+$B$3*D280)</f>
        <v> </v>
      </c>
      <c r="F280" s="31" t="str">
        <f t="shared" si="29"/>
        <v> </v>
      </c>
      <c r="G280" s="31"/>
      <c r="H280" s="31" t="str">
        <f t="shared" si="26"/>
        <v> </v>
      </c>
      <c r="I280" s="31" t="str">
        <f>IF(H280=" "," ",($I$26-$D$3*$F$13)*((H280/$F$13)-($C$18/(PI()))*SIN((PI()*H280)/$F$13))+$D$3*H280)</f>
        <v> </v>
      </c>
      <c r="J280" s="31" t="str">
        <f t="shared" si="30"/>
        <v> </v>
      </c>
      <c r="K280" s="31" t="str">
        <f t="shared" si="27"/>
        <v> </v>
      </c>
      <c r="L280" s="31" t="str">
        <f>IF(K280=" "," ",($L$26-$D$3*$F$12)*((K280/$F$12)-($C$18/(PI()))*SIN((PI()*K280)/$F$12))+$D$3*K280)</f>
        <v> </v>
      </c>
      <c r="M280" s="31" t="str">
        <f t="shared" si="31"/>
        <v> </v>
      </c>
    </row>
    <row r="281" spans="1:13">
      <c r="A281" s="31" t="str">
        <f t="shared" si="24"/>
        <v> </v>
      </c>
      <c r="B281" s="31" t="str">
        <f>IF(A281=" "," ",($B$26-$B$3*($F$9))*((A281/($F$9))-($C$18/(PI()))*SIN((PI()*A281)/($F$9)))+$B$3*A281)</f>
        <v> </v>
      </c>
      <c r="C281" s="31" t="str">
        <f t="shared" si="28"/>
        <v> </v>
      </c>
      <c r="D281" s="31" t="str">
        <f t="shared" si="25"/>
        <v> </v>
      </c>
      <c r="E281" s="31" t="str">
        <f>IF(D281=" "," ",($E$26-$B$3*($F$8))*((D281/($F$8))-($C$18/(PI()))*SIN((PI()*D281)/($F$8)))+$B$3*D281)</f>
        <v> </v>
      </c>
      <c r="F281" s="31" t="str">
        <f t="shared" si="29"/>
        <v> </v>
      </c>
      <c r="G281" s="31"/>
      <c r="H281" s="31" t="str">
        <f t="shared" si="26"/>
        <v> </v>
      </c>
      <c r="I281" s="31" t="str">
        <f>IF(H281=" "," ",($I$26-$D$3*$F$13)*((H281/$F$13)-($C$18/(PI()))*SIN((PI()*H281)/$F$13))+$D$3*H281)</f>
        <v> </v>
      </c>
      <c r="J281" s="31" t="str">
        <f t="shared" si="30"/>
        <v> </v>
      </c>
      <c r="K281" s="31" t="str">
        <f t="shared" si="27"/>
        <v> </v>
      </c>
      <c r="L281" s="31" t="str">
        <f>IF(K281=" "," ",($L$26-$D$3*$F$12)*((K281/$F$12)-($C$18/(PI()))*SIN((PI()*K281)/$F$12))+$D$3*K281)</f>
        <v> </v>
      </c>
      <c r="M281" s="31" t="str">
        <f t="shared" si="31"/>
        <v> </v>
      </c>
    </row>
    <row r="282" spans="1:13">
      <c r="A282" s="31" t="str">
        <f t="shared" si="24"/>
        <v> </v>
      </c>
      <c r="B282" s="31" t="str">
        <f>IF(A282=" "," ",($B$26-$B$3*($F$9))*((A282/($F$9))-($C$18/(PI()))*SIN((PI()*A282)/($F$9)))+$B$3*A282)</f>
        <v> </v>
      </c>
      <c r="C282" s="31" t="str">
        <f t="shared" si="28"/>
        <v> </v>
      </c>
      <c r="D282" s="31" t="str">
        <f t="shared" si="25"/>
        <v> </v>
      </c>
      <c r="E282" s="31" t="str">
        <f>IF(D282=" "," ",($E$26-$B$3*($F$8))*((D282/($F$8))-($C$18/(PI()))*SIN((PI()*D282)/($F$8)))+$B$3*D282)</f>
        <v> </v>
      </c>
      <c r="F282" s="31" t="str">
        <f t="shared" si="29"/>
        <v> </v>
      </c>
      <c r="G282" s="31"/>
      <c r="H282" s="31" t="str">
        <f t="shared" si="26"/>
        <v> </v>
      </c>
      <c r="I282" s="31" t="str">
        <f>IF(H282=" "," ",($I$26-$D$3*$F$13)*((H282/$F$13)-($C$18/(PI()))*SIN((PI()*H282)/$F$13))+$D$3*H282)</f>
        <v> </v>
      </c>
      <c r="J282" s="31" t="str">
        <f t="shared" si="30"/>
        <v> </v>
      </c>
      <c r="K282" s="31" t="str">
        <f t="shared" si="27"/>
        <v> </v>
      </c>
      <c r="L282" s="31" t="str">
        <f>IF(K282=" "," ",($L$26-$D$3*$F$12)*((K282/$F$12)-($C$18/(PI()))*SIN((PI()*K282)/$F$12))+$D$3*K282)</f>
        <v> </v>
      </c>
      <c r="M282" s="31" t="str">
        <f t="shared" si="31"/>
        <v> </v>
      </c>
    </row>
    <row r="283" spans="1:13">
      <c r="A283" s="31" t="str">
        <f t="shared" si="24"/>
        <v> </v>
      </c>
      <c r="B283" s="31" t="str">
        <f>IF(A283=" "," ",($B$26-$B$3*($F$9))*((A283/($F$9))-($C$18/(PI()))*SIN((PI()*A283)/($F$9)))+$B$3*A283)</f>
        <v> </v>
      </c>
      <c r="C283" s="31" t="str">
        <f t="shared" si="28"/>
        <v> </v>
      </c>
      <c r="D283" s="31" t="str">
        <f t="shared" si="25"/>
        <v> </v>
      </c>
      <c r="E283" s="31" t="str">
        <f>IF(D283=" "," ",($E$26-$B$3*($F$8))*((D283/($F$8))-($C$18/(PI()))*SIN((PI()*D283)/($F$8)))+$B$3*D283)</f>
        <v> </v>
      </c>
      <c r="F283" s="31" t="str">
        <f t="shared" si="29"/>
        <v> </v>
      </c>
      <c r="G283" s="31"/>
      <c r="H283" s="31" t="str">
        <f t="shared" si="26"/>
        <v> </v>
      </c>
      <c r="I283" s="31" t="str">
        <f>IF(H283=" "," ",($I$26-$D$3*$F$13)*((H283/$F$13)-($C$18/(PI()))*SIN((PI()*H283)/$F$13))+$D$3*H283)</f>
        <v> </v>
      </c>
      <c r="J283" s="31" t="str">
        <f t="shared" si="30"/>
        <v> </v>
      </c>
      <c r="K283" s="31" t="str">
        <f t="shared" si="27"/>
        <v> </v>
      </c>
      <c r="L283" s="31" t="str">
        <f>IF(K283=" "," ",($L$26-$D$3*$F$12)*((K283/$F$12)-($C$18/(PI()))*SIN((PI()*K283)/$F$12))+$D$3*K283)</f>
        <v> </v>
      </c>
      <c r="M283" s="31" t="str">
        <f t="shared" si="31"/>
        <v> </v>
      </c>
    </row>
    <row r="284" spans="1:13">
      <c r="A284" s="31" t="str">
        <f t="shared" si="24"/>
        <v> </v>
      </c>
      <c r="B284" s="31" t="str">
        <f>IF(A284=" "," ",($B$26-$B$3*($F$9))*((A284/($F$9))-($C$18/(PI()))*SIN((PI()*A284)/($F$9)))+$B$3*A284)</f>
        <v> </v>
      </c>
      <c r="C284" s="31" t="str">
        <f t="shared" si="28"/>
        <v> </v>
      </c>
      <c r="D284" s="31" t="str">
        <f t="shared" si="25"/>
        <v> </v>
      </c>
      <c r="E284" s="31" t="str">
        <f>IF(D284=" "," ",($E$26-$B$3*($F$8))*((D284/($F$8))-($C$18/(PI()))*SIN((PI()*D284)/($F$8)))+$B$3*D284)</f>
        <v> </v>
      </c>
      <c r="F284" s="31" t="str">
        <f t="shared" si="29"/>
        <v> </v>
      </c>
      <c r="G284" s="31"/>
      <c r="H284" s="31" t="str">
        <f t="shared" si="26"/>
        <v> </v>
      </c>
      <c r="I284" s="31" t="str">
        <f>IF(H284=" "," ",($I$26-$D$3*$F$13)*((H284/$F$13)-($C$18/(PI()))*SIN((PI()*H284)/$F$13))+$D$3*H284)</f>
        <v> </v>
      </c>
      <c r="J284" s="31" t="str">
        <f t="shared" si="30"/>
        <v> </v>
      </c>
      <c r="K284" s="31" t="str">
        <f t="shared" si="27"/>
        <v> </v>
      </c>
      <c r="L284" s="31" t="str">
        <f>IF(K284=" "," ",($L$26-$D$3*$F$12)*((K284/$F$12)-($C$18/(PI()))*SIN((PI()*K284)/$F$12))+$D$3*K284)</f>
        <v> </v>
      </c>
      <c r="M284" s="31" t="str">
        <f t="shared" si="31"/>
        <v> </v>
      </c>
    </row>
    <row r="285" spans="1:13">
      <c r="A285" s="31" t="str">
        <f t="shared" ref="A285:A348" si="32">IF(($F$9)-ROW(A257)&gt;=0,($F$9)-(($F$9)-ROW(A257))," ")</f>
        <v> </v>
      </c>
      <c r="B285" s="31" t="str">
        <f>IF(A285=" "," ",($B$26-$B$3*($F$9))*((A285/($F$9))-($C$18/(PI()))*SIN((PI()*A285)/($F$9)))+$B$3*A285)</f>
        <v> </v>
      </c>
      <c r="C285" s="31" t="str">
        <f t="shared" si="28"/>
        <v> </v>
      </c>
      <c r="D285" s="31" t="str">
        <f t="shared" ref="D285:D348" si="33">IF(($F$8)-ROW(D257)&gt;=0,($F$8)-(($F$8)-ROW(D257))," ")</f>
        <v> </v>
      </c>
      <c r="E285" s="31" t="str">
        <f>IF(D285=" "," ",($E$26-$B$3*($F$8))*((D285/($F$8))-($C$18/(PI()))*SIN((PI()*D285)/($F$8)))+$B$3*D285)</f>
        <v> </v>
      </c>
      <c r="F285" s="31" t="str">
        <f t="shared" si="29"/>
        <v> </v>
      </c>
      <c r="G285" s="31"/>
      <c r="H285" s="31" t="str">
        <f t="shared" ref="H285:H348" si="34">IF($F$13-ROW(H257)&gt;=0,$F$13-($F$13-ROW(H257))," ")</f>
        <v> </v>
      </c>
      <c r="I285" s="31" t="str">
        <f>IF(H285=" "," ",($I$26-$D$3*$F$13)*((H285/$F$13)-($C$18/(PI()))*SIN((PI()*H285)/$F$13))+$D$3*H285)</f>
        <v> </v>
      </c>
      <c r="J285" s="31" t="str">
        <f t="shared" si="30"/>
        <v> </v>
      </c>
      <c r="K285" s="31" t="str">
        <f t="shared" ref="K285:K348" si="35">IF($F$12-ROW(K257)&gt;=0,$F$12-($F$12-ROW(K257))," ")</f>
        <v> </v>
      </c>
      <c r="L285" s="31" t="str">
        <f>IF(K285=" "," ",($L$26-$D$3*$F$12)*((K285/$F$12)-($C$18/(PI()))*SIN((PI()*K285)/$F$12))+$D$3*K285)</f>
        <v> </v>
      </c>
      <c r="M285" s="31" t="str">
        <f t="shared" si="31"/>
        <v> </v>
      </c>
    </row>
    <row r="286" spans="1:13">
      <c r="A286" s="31" t="str">
        <f t="shared" si="32"/>
        <v> </v>
      </c>
      <c r="B286" s="31" t="str">
        <f>IF(A286=" "," ",($B$26-$B$3*($F$9))*((A286/($F$9))-($C$18/(PI()))*SIN((PI()*A286)/($F$9)))+$B$3*A286)</f>
        <v> </v>
      </c>
      <c r="C286" s="31" t="str">
        <f t="shared" ref="C286:C349" si="36">IF(A286=" "," ",(B286-B285)/(B285-B284))</f>
        <v> </v>
      </c>
      <c r="D286" s="31" t="str">
        <f t="shared" si="33"/>
        <v> </v>
      </c>
      <c r="E286" s="31" t="str">
        <f>IF(D286=" "," ",($E$26-$B$3*($F$8))*((D286/($F$8))-($C$18/(PI()))*SIN((PI()*D286)/($F$8)))+$B$3*D286)</f>
        <v> </v>
      </c>
      <c r="F286" s="31" t="str">
        <f t="shared" ref="F286:F349" si="37">IF(D286=" "," ",(E286-E285)/(E285-E284))</f>
        <v> </v>
      </c>
      <c r="G286" s="31"/>
      <c r="H286" s="31" t="str">
        <f t="shared" si="34"/>
        <v> </v>
      </c>
      <c r="I286" s="31" t="str">
        <f>IF(H286=" "," ",($I$26-$D$3*$F$13)*((H286/$F$13)-($C$18/(PI()))*SIN((PI()*H286)/$F$13))+$D$3*H286)</f>
        <v> </v>
      </c>
      <c r="J286" s="31" t="str">
        <f t="shared" ref="J286:J349" si="38">IF(H286=" "," ",(I286-I285)/(I285-I284))</f>
        <v> </v>
      </c>
      <c r="K286" s="31" t="str">
        <f t="shared" si="35"/>
        <v> </v>
      </c>
      <c r="L286" s="31" t="str">
        <f>IF(K286=" "," ",($L$26-$D$3*$F$12)*((K286/$F$12)-($C$18/(PI()))*SIN((PI()*K286)/$F$12))+$D$3*K286)</f>
        <v> </v>
      </c>
      <c r="M286" s="31" t="str">
        <f t="shared" ref="M286:M349" si="39">IF(K286=" "," ",(L286-L285)/(L285-L284))</f>
        <v> </v>
      </c>
    </row>
    <row r="287" spans="1:13">
      <c r="A287" s="31" t="str">
        <f t="shared" si="32"/>
        <v> </v>
      </c>
      <c r="B287" s="31" t="str">
        <f>IF(A287=" "," ",($B$26-$B$3*($F$9))*((A287/($F$9))-($C$18/(PI()))*SIN((PI()*A287)/($F$9)))+$B$3*A287)</f>
        <v> </v>
      </c>
      <c r="C287" s="31" t="str">
        <f t="shared" si="36"/>
        <v> </v>
      </c>
      <c r="D287" s="31" t="str">
        <f t="shared" si="33"/>
        <v> </v>
      </c>
      <c r="E287" s="31" t="str">
        <f>IF(D287=" "," ",($E$26-$B$3*($F$8))*((D287/($F$8))-($C$18/(PI()))*SIN((PI()*D287)/($F$8)))+$B$3*D287)</f>
        <v> </v>
      </c>
      <c r="F287" s="31" t="str">
        <f t="shared" si="37"/>
        <v> </v>
      </c>
      <c r="G287" s="31"/>
      <c r="H287" s="31" t="str">
        <f t="shared" si="34"/>
        <v> </v>
      </c>
      <c r="I287" s="31" t="str">
        <f>IF(H287=" "," ",($I$26-$D$3*$F$13)*((H287/$F$13)-($C$18/(PI()))*SIN((PI()*H287)/$F$13))+$D$3*H287)</f>
        <v> </v>
      </c>
      <c r="J287" s="31" t="str">
        <f t="shared" si="38"/>
        <v> </v>
      </c>
      <c r="K287" s="31" t="str">
        <f t="shared" si="35"/>
        <v> </v>
      </c>
      <c r="L287" s="31" t="str">
        <f>IF(K287=" "," ",($L$26-$D$3*$F$12)*((K287/$F$12)-($C$18/(PI()))*SIN((PI()*K287)/$F$12))+$D$3*K287)</f>
        <v> </v>
      </c>
      <c r="M287" s="31" t="str">
        <f t="shared" si="39"/>
        <v> </v>
      </c>
    </row>
    <row r="288" spans="1:13">
      <c r="A288" s="31" t="str">
        <f t="shared" si="32"/>
        <v> </v>
      </c>
      <c r="B288" s="31" t="str">
        <f>IF(A288=" "," ",($B$26-$B$3*($F$9))*((A288/($F$9))-($C$18/(PI()))*SIN((PI()*A288)/($F$9)))+$B$3*A288)</f>
        <v> </v>
      </c>
      <c r="C288" s="31" t="str">
        <f t="shared" si="36"/>
        <v> </v>
      </c>
      <c r="D288" s="31" t="str">
        <f t="shared" si="33"/>
        <v> </v>
      </c>
      <c r="E288" s="31" t="str">
        <f>IF(D288=" "," ",($E$26-$B$3*($F$8))*((D288/($F$8))-($C$18/(PI()))*SIN((PI()*D288)/($F$8)))+$B$3*D288)</f>
        <v> </v>
      </c>
      <c r="F288" s="31" t="str">
        <f t="shared" si="37"/>
        <v> </v>
      </c>
      <c r="G288" s="31"/>
      <c r="H288" s="31" t="str">
        <f t="shared" si="34"/>
        <v> </v>
      </c>
      <c r="I288" s="31" t="str">
        <f>IF(H288=" "," ",($I$26-$D$3*$F$13)*((H288/$F$13)-($C$18/(PI()))*SIN((PI()*H288)/$F$13))+$D$3*H288)</f>
        <v> </v>
      </c>
      <c r="J288" s="31" t="str">
        <f t="shared" si="38"/>
        <v> </v>
      </c>
      <c r="K288" s="31" t="str">
        <f t="shared" si="35"/>
        <v> </v>
      </c>
      <c r="L288" s="31" t="str">
        <f>IF(K288=" "," ",($L$26-$D$3*$F$12)*((K288/$F$12)-($C$18/(PI()))*SIN((PI()*K288)/$F$12))+$D$3*K288)</f>
        <v> </v>
      </c>
      <c r="M288" s="31" t="str">
        <f t="shared" si="39"/>
        <v> </v>
      </c>
    </row>
    <row r="289" spans="1:13">
      <c r="A289" s="31" t="str">
        <f t="shared" si="32"/>
        <v> </v>
      </c>
      <c r="B289" s="31" t="str">
        <f>IF(A289=" "," ",($B$26-$B$3*($F$9))*((A289/($F$9))-($C$18/(PI()))*SIN((PI()*A289)/($F$9)))+$B$3*A289)</f>
        <v> </v>
      </c>
      <c r="C289" s="31" t="str">
        <f t="shared" si="36"/>
        <v> </v>
      </c>
      <c r="D289" s="31" t="str">
        <f t="shared" si="33"/>
        <v> </v>
      </c>
      <c r="E289" s="31" t="str">
        <f>IF(D289=" "," ",($E$26-$B$3*($F$8))*((D289/($F$8))-($C$18/(PI()))*SIN((PI()*D289)/($F$8)))+$B$3*D289)</f>
        <v> </v>
      </c>
      <c r="F289" s="31" t="str">
        <f t="shared" si="37"/>
        <v> </v>
      </c>
      <c r="G289" s="31"/>
      <c r="H289" s="31" t="str">
        <f t="shared" si="34"/>
        <v> </v>
      </c>
      <c r="I289" s="31" t="str">
        <f>IF(H289=" "," ",($I$26-$D$3*$F$13)*((H289/$F$13)-($C$18/(PI()))*SIN((PI()*H289)/$F$13))+$D$3*H289)</f>
        <v> </v>
      </c>
      <c r="J289" s="31" t="str">
        <f t="shared" si="38"/>
        <v> </v>
      </c>
      <c r="K289" s="31" t="str">
        <f t="shared" si="35"/>
        <v> </v>
      </c>
      <c r="L289" s="31" t="str">
        <f>IF(K289=" "," ",($L$26-$D$3*$F$12)*((K289/$F$12)-($C$18/(PI()))*SIN((PI()*K289)/$F$12))+$D$3*K289)</f>
        <v> </v>
      </c>
      <c r="M289" s="31" t="str">
        <f t="shared" si="39"/>
        <v> </v>
      </c>
    </row>
    <row r="290" spans="1:13">
      <c r="A290" s="31" t="str">
        <f t="shared" si="32"/>
        <v> </v>
      </c>
      <c r="B290" s="31" t="str">
        <f>IF(A290=" "," ",($B$26-$B$3*($F$9))*((A290/($F$9))-($C$18/(PI()))*SIN((PI()*A290)/($F$9)))+$B$3*A290)</f>
        <v> </v>
      </c>
      <c r="C290" s="31" t="str">
        <f t="shared" si="36"/>
        <v> </v>
      </c>
      <c r="D290" s="31" t="str">
        <f t="shared" si="33"/>
        <v> </v>
      </c>
      <c r="E290" s="31" t="str">
        <f>IF(D290=" "," ",($E$26-$B$3*($F$8))*((D290/($F$8))-($C$18/(PI()))*SIN((PI()*D290)/($F$8)))+$B$3*D290)</f>
        <v> </v>
      </c>
      <c r="F290" s="31" t="str">
        <f t="shared" si="37"/>
        <v> </v>
      </c>
      <c r="G290" s="31"/>
      <c r="H290" s="31" t="str">
        <f t="shared" si="34"/>
        <v> </v>
      </c>
      <c r="I290" s="31" t="str">
        <f>IF(H290=" "," ",($I$26-$D$3*$F$13)*((H290/$F$13)-($C$18/(PI()))*SIN((PI()*H290)/$F$13))+$D$3*H290)</f>
        <v> </v>
      </c>
      <c r="J290" s="31" t="str">
        <f t="shared" si="38"/>
        <v> </v>
      </c>
      <c r="K290" s="31" t="str">
        <f t="shared" si="35"/>
        <v> </v>
      </c>
      <c r="L290" s="31" t="str">
        <f>IF(K290=" "," ",($L$26-$D$3*$F$12)*((K290/$F$12)-($C$18/(PI()))*SIN((PI()*K290)/$F$12))+$D$3*K290)</f>
        <v> </v>
      </c>
      <c r="M290" s="31" t="str">
        <f t="shared" si="39"/>
        <v> </v>
      </c>
    </row>
    <row r="291" spans="1:13">
      <c r="A291" s="31" t="str">
        <f t="shared" si="32"/>
        <v> </v>
      </c>
      <c r="B291" s="31" t="str">
        <f>IF(A291=" "," ",($B$26-$B$3*($F$9))*((A291/($F$9))-($C$18/(PI()))*SIN((PI()*A291)/($F$9)))+$B$3*A291)</f>
        <v> </v>
      </c>
      <c r="C291" s="31" t="str">
        <f t="shared" si="36"/>
        <v> </v>
      </c>
      <c r="D291" s="31" t="str">
        <f t="shared" si="33"/>
        <v> </v>
      </c>
      <c r="E291" s="31" t="str">
        <f>IF(D291=" "," ",($E$26-$B$3*($F$8))*((D291/($F$8))-($C$18/(PI()))*SIN((PI()*D291)/($F$8)))+$B$3*D291)</f>
        <v> </v>
      </c>
      <c r="F291" s="31" t="str">
        <f t="shared" si="37"/>
        <v> </v>
      </c>
      <c r="G291" s="31"/>
      <c r="H291" s="31" t="str">
        <f t="shared" si="34"/>
        <v> </v>
      </c>
      <c r="I291" s="31" t="str">
        <f>IF(H291=" "," ",($I$26-$D$3*$F$13)*((H291/$F$13)-($C$18/(PI()))*SIN((PI()*H291)/$F$13))+$D$3*H291)</f>
        <v> </v>
      </c>
      <c r="J291" s="31" t="str">
        <f t="shared" si="38"/>
        <v> </v>
      </c>
      <c r="K291" s="31" t="str">
        <f t="shared" si="35"/>
        <v> </v>
      </c>
      <c r="L291" s="31" t="str">
        <f>IF(K291=" "," ",($L$26-$D$3*$F$12)*((K291/$F$12)-($C$18/(PI()))*SIN((PI()*K291)/$F$12))+$D$3*K291)</f>
        <v> </v>
      </c>
      <c r="M291" s="31" t="str">
        <f t="shared" si="39"/>
        <v> </v>
      </c>
    </row>
    <row r="292" spans="1:13">
      <c r="A292" s="31" t="str">
        <f t="shared" si="32"/>
        <v> </v>
      </c>
      <c r="B292" s="31" t="str">
        <f>IF(A292=" "," ",($B$26-$B$3*($F$9))*((A292/($F$9))-($C$18/(PI()))*SIN((PI()*A292)/($F$9)))+$B$3*A292)</f>
        <v> </v>
      </c>
      <c r="C292" s="31" t="str">
        <f t="shared" si="36"/>
        <v> </v>
      </c>
      <c r="D292" s="31" t="str">
        <f t="shared" si="33"/>
        <v> </v>
      </c>
      <c r="E292" s="31" t="str">
        <f>IF(D292=" "," ",($E$26-$B$3*($F$8))*((D292/($F$8))-($C$18/(PI()))*SIN((PI()*D292)/($F$8)))+$B$3*D292)</f>
        <v> </v>
      </c>
      <c r="F292" s="31" t="str">
        <f t="shared" si="37"/>
        <v> </v>
      </c>
      <c r="G292" s="31"/>
      <c r="H292" s="31" t="str">
        <f t="shared" si="34"/>
        <v> </v>
      </c>
      <c r="I292" s="31" t="str">
        <f>IF(H292=" "," ",($I$26-$D$3*$F$13)*((H292/$F$13)-($C$18/(PI()))*SIN((PI()*H292)/$F$13))+$D$3*H292)</f>
        <v> </v>
      </c>
      <c r="J292" s="31" t="str">
        <f t="shared" si="38"/>
        <v> </v>
      </c>
      <c r="K292" s="31" t="str">
        <f t="shared" si="35"/>
        <v> </v>
      </c>
      <c r="L292" s="31" t="str">
        <f>IF(K292=" "," ",($L$26-$D$3*$F$12)*((K292/$F$12)-($C$18/(PI()))*SIN((PI()*K292)/$F$12))+$D$3*K292)</f>
        <v> </v>
      </c>
      <c r="M292" s="31" t="str">
        <f t="shared" si="39"/>
        <v> </v>
      </c>
    </row>
    <row r="293" spans="1:13">
      <c r="A293" s="31" t="str">
        <f t="shared" si="32"/>
        <v> </v>
      </c>
      <c r="B293" s="31" t="str">
        <f>IF(A293=" "," ",($B$26-$B$3*($F$9))*((A293/($F$9))-($C$18/(PI()))*SIN((PI()*A293)/($F$9)))+$B$3*A293)</f>
        <v> </v>
      </c>
      <c r="C293" s="31" t="str">
        <f t="shared" si="36"/>
        <v> </v>
      </c>
      <c r="D293" s="31" t="str">
        <f t="shared" si="33"/>
        <v> </v>
      </c>
      <c r="E293" s="31" t="str">
        <f>IF(D293=" "," ",($E$26-$B$3*($F$8))*((D293/($F$8))-($C$18/(PI()))*SIN((PI()*D293)/($F$8)))+$B$3*D293)</f>
        <v> </v>
      </c>
      <c r="F293" s="31" t="str">
        <f t="shared" si="37"/>
        <v> </v>
      </c>
      <c r="G293" s="31"/>
      <c r="H293" s="31" t="str">
        <f t="shared" si="34"/>
        <v> </v>
      </c>
      <c r="I293" s="31" t="str">
        <f>IF(H293=" "," ",($I$26-$D$3*$F$13)*((H293/$F$13)-($C$18/(PI()))*SIN((PI()*H293)/$F$13))+$D$3*H293)</f>
        <v> </v>
      </c>
      <c r="J293" s="31" t="str">
        <f t="shared" si="38"/>
        <v> </v>
      </c>
      <c r="K293" s="31" t="str">
        <f t="shared" si="35"/>
        <v> </v>
      </c>
      <c r="L293" s="31" t="str">
        <f>IF(K293=" "," ",($L$26-$D$3*$F$12)*((K293/$F$12)-($C$18/(PI()))*SIN((PI()*K293)/$F$12))+$D$3*K293)</f>
        <v> </v>
      </c>
      <c r="M293" s="31" t="str">
        <f t="shared" si="39"/>
        <v> </v>
      </c>
    </row>
    <row r="294" spans="1:13">
      <c r="A294" s="31" t="str">
        <f t="shared" si="32"/>
        <v> </v>
      </c>
      <c r="B294" s="31" t="str">
        <f>IF(A294=" "," ",($B$26-$B$3*($F$9))*((A294/($F$9))-($C$18/(PI()))*SIN((PI()*A294)/($F$9)))+$B$3*A294)</f>
        <v> </v>
      </c>
      <c r="C294" s="31" t="str">
        <f t="shared" si="36"/>
        <v> </v>
      </c>
      <c r="D294" s="31" t="str">
        <f t="shared" si="33"/>
        <v> </v>
      </c>
      <c r="E294" s="31" t="str">
        <f>IF(D294=" "," ",($E$26-$B$3*($F$8))*((D294/($F$8))-($C$18/(PI()))*SIN((PI()*D294)/($F$8)))+$B$3*D294)</f>
        <v> </v>
      </c>
      <c r="F294" s="31" t="str">
        <f t="shared" si="37"/>
        <v> </v>
      </c>
      <c r="G294" s="31"/>
      <c r="H294" s="31" t="str">
        <f t="shared" si="34"/>
        <v> </v>
      </c>
      <c r="I294" s="31" t="str">
        <f>IF(H294=" "," ",($I$26-$D$3*$F$13)*((H294/$F$13)-($C$18/(PI()))*SIN((PI()*H294)/$F$13))+$D$3*H294)</f>
        <v> </v>
      </c>
      <c r="J294" s="31" t="str">
        <f t="shared" si="38"/>
        <v> </v>
      </c>
      <c r="K294" s="31" t="str">
        <f t="shared" si="35"/>
        <v> </v>
      </c>
      <c r="L294" s="31" t="str">
        <f>IF(K294=" "," ",($L$26-$D$3*$F$12)*((K294/$F$12)-($C$18/(PI()))*SIN((PI()*K294)/$F$12))+$D$3*K294)</f>
        <v> </v>
      </c>
      <c r="M294" s="31" t="str">
        <f t="shared" si="39"/>
        <v> </v>
      </c>
    </row>
    <row r="295" spans="1:13">
      <c r="A295" s="31" t="str">
        <f t="shared" si="32"/>
        <v> </v>
      </c>
      <c r="B295" s="31" t="str">
        <f>IF(A295=" "," ",($B$26-$B$3*($F$9))*((A295/($F$9))-($C$18/(PI()))*SIN((PI()*A295)/($F$9)))+$B$3*A295)</f>
        <v> </v>
      </c>
      <c r="C295" s="31" t="str">
        <f t="shared" si="36"/>
        <v> </v>
      </c>
      <c r="D295" s="31" t="str">
        <f t="shared" si="33"/>
        <v> </v>
      </c>
      <c r="E295" s="31" t="str">
        <f>IF(D295=" "," ",($E$26-$B$3*($F$8))*((D295/($F$8))-($C$18/(PI()))*SIN((PI()*D295)/($F$8)))+$B$3*D295)</f>
        <v> </v>
      </c>
      <c r="F295" s="31" t="str">
        <f t="shared" si="37"/>
        <v> </v>
      </c>
      <c r="G295" s="31"/>
      <c r="H295" s="31" t="str">
        <f t="shared" si="34"/>
        <v> </v>
      </c>
      <c r="I295" s="31" t="str">
        <f>IF(H295=" "," ",($I$26-$D$3*$F$13)*((H295/$F$13)-($C$18/(PI()))*SIN((PI()*H295)/$F$13))+$D$3*H295)</f>
        <v> </v>
      </c>
      <c r="J295" s="31" t="str">
        <f t="shared" si="38"/>
        <v> </v>
      </c>
      <c r="K295" s="31" t="str">
        <f t="shared" si="35"/>
        <v> </v>
      </c>
      <c r="L295" s="31" t="str">
        <f>IF(K295=" "," ",($L$26-$D$3*$F$12)*((K295/$F$12)-($C$18/(PI()))*SIN((PI()*K295)/$F$12))+$D$3*K295)</f>
        <v> </v>
      </c>
      <c r="M295" s="31" t="str">
        <f t="shared" si="39"/>
        <v> </v>
      </c>
    </row>
    <row r="296" spans="1:13">
      <c r="A296" s="31" t="str">
        <f t="shared" si="32"/>
        <v> </v>
      </c>
      <c r="B296" s="31" t="str">
        <f>IF(A296=" "," ",($B$26-$B$3*($F$9))*((A296/($F$9))-($C$18/(PI()))*SIN((PI()*A296)/($F$9)))+$B$3*A296)</f>
        <v> </v>
      </c>
      <c r="C296" s="31" t="str">
        <f t="shared" si="36"/>
        <v> </v>
      </c>
      <c r="D296" s="31" t="str">
        <f t="shared" si="33"/>
        <v> </v>
      </c>
      <c r="E296" s="31" t="str">
        <f>IF(D296=" "," ",($E$26-$B$3*($F$8))*((D296/($F$8))-($C$18/(PI()))*SIN((PI()*D296)/($F$8)))+$B$3*D296)</f>
        <v> </v>
      </c>
      <c r="F296" s="31" t="str">
        <f t="shared" si="37"/>
        <v> </v>
      </c>
      <c r="G296" s="31"/>
      <c r="H296" s="31" t="str">
        <f t="shared" si="34"/>
        <v> </v>
      </c>
      <c r="I296" s="31" t="str">
        <f>IF(H296=" "," ",($I$26-$D$3*$F$13)*((H296/$F$13)-($C$18/(PI()))*SIN((PI()*H296)/$F$13))+$D$3*H296)</f>
        <v> </v>
      </c>
      <c r="J296" s="31" t="str">
        <f t="shared" si="38"/>
        <v> </v>
      </c>
      <c r="K296" s="31" t="str">
        <f t="shared" si="35"/>
        <v> </v>
      </c>
      <c r="L296" s="31" t="str">
        <f>IF(K296=" "," ",($L$26-$D$3*$F$12)*((K296/$F$12)-($C$18/(PI()))*SIN((PI()*K296)/$F$12))+$D$3*K296)</f>
        <v> </v>
      </c>
      <c r="M296" s="31" t="str">
        <f t="shared" si="39"/>
        <v> </v>
      </c>
    </row>
    <row r="297" spans="1:13">
      <c r="A297" s="31" t="str">
        <f t="shared" si="32"/>
        <v> </v>
      </c>
      <c r="B297" s="31" t="str">
        <f>IF(A297=" "," ",($B$26-$B$3*($F$9))*((A297/($F$9))-($C$18/(PI()))*SIN((PI()*A297)/($F$9)))+$B$3*A297)</f>
        <v> </v>
      </c>
      <c r="C297" s="31" t="str">
        <f t="shared" si="36"/>
        <v> </v>
      </c>
      <c r="D297" s="31" t="str">
        <f t="shared" si="33"/>
        <v> </v>
      </c>
      <c r="E297" s="31" t="str">
        <f>IF(D297=" "," ",($E$26-$B$3*($F$8))*((D297/($F$8))-($C$18/(PI()))*SIN((PI()*D297)/($F$8)))+$B$3*D297)</f>
        <v> </v>
      </c>
      <c r="F297" s="31" t="str">
        <f t="shared" si="37"/>
        <v> </v>
      </c>
      <c r="G297" s="31"/>
      <c r="H297" s="31" t="str">
        <f t="shared" si="34"/>
        <v> </v>
      </c>
      <c r="I297" s="31" t="str">
        <f>IF(H297=" "," ",($I$26-$D$3*$F$13)*((H297/$F$13)-($C$18/(PI()))*SIN((PI()*H297)/$F$13))+$D$3*H297)</f>
        <v> </v>
      </c>
      <c r="J297" s="31" t="str">
        <f t="shared" si="38"/>
        <v> </v>
      </c>
      <c r="K297" s="31" t="str">
        <f t="shared" si="35"/>
        <v> </v>
      </c>
      <c r="L297" s="31" t="str">
        <f>IF(K297=" "," ",($L$26-$D$3*$F$12)*((K297/$F$12)-($C$18/(PI()))*SIN((PI()*K297)/$F$12))+$D$3*K297)</f>
        <v> </v>
      </c>
      <c r="M297" s="31" t="str">
        <f t="shared" si="39"/>
        <v> </v>
      </c>
    </row>
    <row r="298" spans="1:13">
      <c r="A298" s="31" t="str">
        <f t="shared" si="32"/>
        <v> </v>
      </c>
      <c r="B298" s="31" t="str">
        <f>IF(A298=" "," ",($B$26-$B$3*($F$9))*((A298/($F$9))-($C$18/(PI()))*SIN((PI()*A298)/($F$9)))+$B$3*A298)</f>
        <v> </v>
      </c>
      <c r="C298" s="31" t="str">
        <f t="shared" si="36"/>
        <v> </v>
      </c>
      <c r="D298" s="31" t="str">
        <f t="shared" si="33"/>
        <v> </v>
      </c>
      <c r="E298" s="31" t="str">
        <f>IF(D298=" "," ",($E$26-$B$3*($F$8))*((D298/($F$8))-($C$18/(PI()))*SIN((PI()*D298)/($F$8)))+$B$3*D298)</f>
        <v> </v>
      </c>
      <c r="F298" s="31" t="str">
        <f t="shared" si="37"/>
        <v> </v>
      </c>
      <c r="G298" s="31"/>
      <c r="H298" s="31" t="str">
        <f t="shared" si="34"/>
        <v> </v>
      </c>
      <c r="I298" s="31" t="str">
        <f>IF(H298=" "," ",($I$26-$D$3*$F$13)*((H298/$F$13)-($C$18/(PI()))*SIN((PI()*H298)/$F$13))+$D$3*H298)</f>
        <v> </v>
      </c>
      <c r="J298" s="31" t="str">
        <f t="shared" si="38"/>
        <v> </v>
      </c>
      <c r="K298" s="31" t="str">
        <f t="shared" si="35"/>
        <v> </v>
      </c>
      <c r="L298" s="31" t="str">
        <f>IF(K298=" "," ",($L$26-$D$3*$F$12)*((K298/$F$12)-($C$18/(PI()))*SIN((PI()*K298)/$F$12))+$D$3*K298)</f>
        <v> </v>
      </c>
      <c r="M298" s="31" t="str">
        <f t="shared" si="39"/>
        <v> </v>
      </c>
    </row>
    <row r="299" spans="1:13">
      <c r="A299" s="31" t="str">
        <f t="shared" si="32"/>
        <v> </v>
      </c>
      <c r="B299" s="31" t="str">
        <f>IF(A299=" "," ",($B$26-$B$3*($F$9))*((A299/($F$9))-($C$18/(PI()))*SIN((PI()*A299)/($F$9)))+$B$3*A299)</f>
        <v> </v>
      </c>
      <c r="C299" s="31" t="str">
        <f t="shared" si="36"/>
        <v> </v>
      </c>
      <c r="D299" s="31" t="str">
        <f t="shared" si="33"/>
        <v> </v>
      </c>
      <c r="E299" s="31" t="str">
        <f>IF(D299=" "," ",($E$26-$B$3*($F$8))*((D299/($F$8))-($C$18/(PI()))*SIN((PI()*D299)/($F$8)))+$B$3*D299)</f>
        <v> </v>
      </c>
      <c r="F299" s="31" t="str">
        <f t="shared" si="37"/>
        <v> </v>
      </c>
      <c r="G299" s="31"/>
      <c r="H299" s="31" t="str">
        <f t="shared" si="34"/>
        <v> </v>
      </c>
      <c r="I299" s="31" t="str">
        <f>IF(H299=" "," ",($I$26-$D$3*$F$13)*((H299/$F$13)-($C$18/(PI()))*SIN((PI()*H299)/$F$13))+$D$3*H299)</f>
        <v> </v>
      </c>
      <c r="J299" s="31" t="str">
        <f t="shared" si="38"/>
        <v> </v>
      </c>
      <c r="K299" s="31" t="str">
        <f t="shared" si="35"/>
        <v> </v>
      </c>
      <c r="L299" s="31" t="str">
        <f>IF(K299=" "," ",($L$26-$D$3*$F$12)*((K299/$F$12)-($C$18/(PI()))*SIN((PI()*K299)/$F$12))+$D$3*K299)</f>
        <v> </v>
      </c>
      <c r="M299" s="31" t="str">
        <f t="shared" si="39"/>
        <v> </v>
      </c>
    </row>
    <row r="300" spans="1:13">
      <c r="A300" s="31" t="str">
        <f t="shared" si="32"/>
        <v> </v>
      </c>
      <c r="B300" s="31" t="str">
        <f>IF(A300=" "," ",($B$26-$B$3*($F$9))*((A300/($F$9))-($C$18/(PI()))*SIN((PI()*A300)/($F$9)))+$B$3*A300)</f>
        <v> </v>
      </c>
      <c r="C300" s="31" t="str">
        <f t="shared" si="36"/>
        <v> </v>
      </c>
      <c r="D300" s="31" t="str">
        <f t="shared" si="33"/>
        <v> </v>
      </c>
      <c r="E300" s="31" t="str">
        <f>IF(D300=" "," ",($E$26-$B$3*($F$8))*((D300/($F$8))-($C$18/(PI()))*SIN((PI()*D300)/($F$8)))+$B$3*D300)</f>
        <v> </v>
      </c>
      <c r="F300" s="31" t="str">
        <f t="shared" si="37"/>
        <v> </v>
      </c>
      <c r="G300" s="31"/>
      <c r="H300" s="31" t="str">
        <f t="shared" si="34"/>
        <v> </v>
      </c>
      <c r="I300" s="31" t="str">
        <f>IF(H300=" "," ",($I$26-$D$3*$F$13)*((H300/$F$13)-($C$18/(PI()))*SIN((PI()*H300)/$F$13))+$D$3*H300)</f>
        <v> </v>
      </c>
      <c r="J300" s="31" t="str">
        <f t="shared" si="38"/>
        <v> </v>
      </c>
      <c r="K300" s="31" t="str">
        <f t="shared" si="35"/>
        <v> </v>
      </c>
      <c r="L300" s="31" t="str">
        <f>IF(K300=" "," ",($L$26-$D$3*$F$12)*((K300/$F$12)-($C$18/(PI()))*SIN((PI()*K300)/$F$12))+$D$3*K300)</f>
        <v> </v>
      </c>
      <c r="M300" s="31" t="str">
        <f t="shared" si="39"/>
        <v> </v>
      </c>
    </row>
    <row r="301" spans="1:13">
      <c r="A301" s="31" t="str">
        <f t="shared" si="32"/>
        <v> </v>
      </c>
      <c r="B301" s="31" t="str">
        <f>IF(A301=" "," ",($B$26-$B$3*($F$9))*((A301/($F$9))-($C$18/(PI()))*SIN((PI()*A301)/($F$9)))+$B$3*A301)</f>
        <v> </v>
      </c>
      <c r="C301" s="31" t="str">
        <f t="shared" si="36"/>
        <v> </v>
      </c>
      <c r="D301" s="31" t="str">
        <f t="shared" si="33"/>
        <v> </v>
      </c>
      <c r="E301" s="31" t="str">
        <f>IF(D301=" "," ",($E$26-$B$3*($F$8))*((D301/($F$8))-($C$18/(PI()))*SIN((PI()*D301)/($F$8)))+$B$3*D301)</f>
        <v> </v>
      </c>
      <c r="F301" s="31" t="str">
        <f t="shared" si="37"/>
        <v> </v>
      </c>
      <c r="G301" s="31"/>
      <c r="H301" s="31" t="str">
        <f t="shared" si="34"/>
        <v> </v>
      </c>
      <c r="I301" s="31" t="str">
        <f>IF(H301=" "," ",($I$26-$D$3*$F$13)*((H301/$F$13)-($C$18/(PI()))*SIN((PI()*H301)/$F$13))+$D$3*H301)</f>
        <v> </v>
      </c>
      <c r="J301" s="31" t="str">
        <f t="shared" si="38"/>
        <v> </v>
      </c>
      <c r="K301" s="31" t="str">
        <f t="shared" si="35"/>
        <v> </v>
      </c>
      <c r="L301" s="31" t="str">
        <f>IF(K301=" "," ",($L$26-$D$3*$F$12)*((K301/$F$12)-($C$18/(PI()))*SIN((PI()*K301)/$F$12))+$D$3*K301)</f>
        <v> </v>
      </c>
      <c r="M301" s="31" t="str">
        <f t="shared" si="39"/>
        <v> </v>
      </c>
    </row>
    <row r="302" spans="1:13">
      <c r="A302" s="31" t="str">
        <f t="shared" si="32"/>
        <v> </v>
      </c>
      <c r="B302" s="31" t="str">
        <f>IF(A302=" "," ",($B$26-$B$3*($F$9))*((A302/($F$9))-($C$18/(PI()))*SIN((PI()*A302)/($F$9)))+$B$3*A302)</f>
        <v> </v>
      </c>
      <c r="C302" s="31" t="str">
        <f t="shared" si="36"/>
        <v> </v>
      </c>
      <c r="D302" s="31" t="str">
        <f t="shared" si="33"/>
        <v> </v>
      </c>
      <c r="E302" s="31" t="str">
        <f>IF(D302=" "," ",($E$26-$B$3*($F$8))*((D302/($F$8))-($C$18/(PI()))*SIN((PI()*D302)/($F$8)))+$B$3*D302)</f>
        <v> </v>
      </c>
      <c r="F302" s="31" t="str">
        <f t="shared" si="37"/>
        <v> </v>
      </c>
      <c r="G302" s="31"/>
      <c r="H302" s="31" t="str">
        <f t="shared" si="34"/>
        <v> </v>
      </c>
      <c r="I302" s="31" t="str">
        <f>IF(H302=" "," ",($I$26-$D$3*$F$13)*((H302/$F$13)-($C$18/(PI()))*SIN((PI()*H302)/$F$13))+$D$3*H302)</f>
        <v> </v>
      </c>
      <c r="J302" s="31" t="str">
        <f t="shared" si="38"/>
        <v> </v>
      </c>
      <c r="K302" s="31" t="str">
        <f t="shared" si="35"/>
        <v> </v>
      </c>
      <c r="L302" s="31" t="str">
        <f>IF(K302=" "," ",($L$26-$D$3*$F$12)*((K302/$F$12)-($C$18/(PI()))*SIN((PI()*K302)/$F$12))+$D$3*K302)</f>
        <v> </v>
      </c>
      <c r="M302" s="31" t="str">
        <f t="shared" si="39"/>
        <v> </v>
      </c>
    </row>
    <row r="303" spans="1:13">
      <c r="A303" s="31" t="str">
        <f t="shared" si="32"/>
        <v> </v>
      </c>
      <c r="B303" s="31" t="str">
        <f>IF(A303=" "," ",($B$26-$B$3*($F$9))*((A303/($F$9))-($C$18/(PI()))*SIN((PI()*A303)/($F$9)))+$B$3*A303)</f>
        <v> </v>
      </c>
      <c r="C303" s="31" t="str">
        <f t="shared" si="36"/>
        <v> </v>
      </c>
      <c r="D303" s="31" t="str">
        <f t="shared" si="33"/>
        <v> </v>
      </c>
      <c r="E303" s="31" t="str">
        <f>IF(D303=" "," ",($E$26-$B$3*($F$8))*((D303/($F$8))-($C$18/(PI()))*SIN((PI()*D303)/($F$8)))+$B$3*D303)</f>
        <v> </v>
      </c>
      <c r="F303" s="31" t="str">
        <f t="shared" si="37"/>
        <v> </v>
      </c>
      <c r="G303" s="31"/>
      <c r="H303" s="31" t="str">
        <f t="shared" si="34"/>
        <v> </v>
      </c>
      <c r="I303" s="31" t="str">
        <f>IF(H303=" "," ",($I$26-$D$3*$F$13)*((H303/$F$13)-($C$18/(PI()))*SIN((PI()*H303)/$F$13))+$D$3*H303)</f>
        <v> </v>
      </c>
      <c r="J303" s="31" t="str">
        <f t="shared" si="38"/>
        <v> </v>
      </c>
      <c r="K303" s="31" t="str">
        <f t="shared" si="35"/>
        <v> </v>
      </c>
      <c r="L303" s="31" t="str">
        <f>IF(K303=" "," ",($L$26-$D$3*$F$12)*((K303/$F$12)-($C$18/(PI()))*SIN((PI()*K303)/$F$12))+$D$3*K303)</f>
        <v> </v>
      </c>
      <c r="M303" s="31" t="str">
        <f t="shared" si="39"/>
        <v> </v>
      </c>
    </row>
    <row r="304" spans="1:13">
      <c r="A304" s="31" t="str">
        <f t="shared" si="32"/>
        <v> </v>
      </c>
      <c r="B304" s="31" t="str">
        <f>IF(A304=" "," ",($B$26-$B$3*($F$9))*((A304/($F$9))-($C$18/(PI()))*SIN((PI()*A304)/($F$9)))+$B$3*A304)</f>
        <v> </v>
      </c>
      <c r="C304" s="31" t="str">
        <f t="shared" si="36"/>
        <v> </v>
      </c>
      <c r="D304" s="31" t="str">
        <f t="shared" si="33"/>
        <v> </v>
      </c>
      <c r="E304" s="31" t="str">
        <f>IF(D304=" "," ",($E$26-$B$3*($F$8))*((D304/($F$8))-($C$18/(PI()))*SIN((PI()*D304)/($F$8)))+$B$3*D304)</f>
        <v> </v>
      </c>
      <c r="F304" s="31" t="str">
        <f t="shared" si="37"/>
        <v> </v>
      </c>
      <c r="G304" s="31"/>
      <c r="H304" s="31" t="str">
        <f t="shared" si="34"/>
        <v> </v>
      </c>
      <c r="I304" s="31" t="str">
        <f>IF(H304=" "," ",($I$26-$D$3*$F$13)*((H304/$F$13)-($C$18/(PI()))*SIN((PI()*H304)/$F$13))+$D$3*H304)</f>
        <v> </v>
      </c>
      <c r="J304" s="31" t="str">
        <f t="shared" si="38"/>
        <v> </v>
      </c>
      <c r="K304" s="31" t="str">
        <f t="shared" si="35"/>
        <v> </v>
      </c>
      <c r="L304" s="31" t="str">
        <f>IF(K304=" "," ",($L$26-$D$3*$F$12)*((K304/$F$12)-($C$18/(PI()))*SIN((PI()*K304)/$F$12))+$D$3*K304)</f>
        <v> </v>
      </c>
      <c r="M304" s="31" t="str">
        <f t="shared" si="39"/>
        <v> </v>
      </c>
    </row>
    <row r="305" spans="1:13">
      <c r="A305" s="31" t="str">
        <f t="shared" si="32"/>
        <v> </v>
      </c>
      <c r="B305" s="31" t="str">
        <f>IF(A305=" "," ",($B$26-$B$3*($F$9))*((A305/($F$9))-($C$18/(PI()))*SIN((PI()*A305)/($F$9)))+$B$3*A305)</f>
        <v> </v>
      </c>
      <c r="C305" s="31" t="str">
        <f t="shared" si="36"/>
        <v> </v>
      </c>
      <c r="D305" s="31" t="str">
        <f t="shared" si="33"/>
        <v> </v>
      </c>
      <c r="E305" s="31" t="str">
        <f>IF(D305=" "," ",($E$26-$B$3*($F$8))*((D305/($F$8))-($C$18/(PI()))*SIN((PI()*D305)/($F$8)))+$B$3*D305)</f>
        <v> </v>
      </c>
      <c r="F305" s="31" t="str">
        <f t="shared" si="37"/>
        <v> </v>
      </c>
      <c r="G305" s="31"/>
      <c r="H305" s="31" t="str">
        <f t="shared" si="34"/>
        <v> </v>
      </c>
      <c r="I305" s="31" t="str">
        <f>IF(H305=" "," ",($I$26-$D$3*$F$13)*((H305/$F$13)-($C$18/(PI()))*SIN((PI()*H305)/$F$13))+$D$3*H305)</f>
        <v> </v>
      </c>
      <c r="J305" s="31" t="str">
        <f t="shared" si="38"/>
        <v> </v>
      </c>
      <c r="K305" s="31" t="str">
        <f t="shared" si="35"/>
        <v> </v>
      </c>
      <c r="L305" s="31" t="str">
        <f>IF(K305=" "," ",($L$26-$D$3*$F$12)*((K305/$F$12)-($C$18/(PI()))*SIN((PI()*K305)/$F$12))+$D$3*K305)</f>
        <v> </v>
      </c>
      <c r="M305" s="31" t="str">
        <f t="shared" si="39"/>
        <v> </v>
      </c>
    </row>
    <row r="306" spans="1:13">
      <c r="A306" s="31" t="str">
        <f t="shared" si="32"/>
        <v> </v>
      </c>
      <c r="B306" s="31" t="str">
        <f>IF(A306=" "," ",($B$26-$B$3*($F$9))*((A306/($F$9))-($C$18/(PI()))*SIN((PI()*A306)/($F$9)))+$B$3*A306)</f>
        <v> </v>
      </c>
      <c r="C306" s="31" t="str">
        <f t="shared" si="36"/>
        <v> </v>
      </c>
      <c r="D306" s="31" t="str">
        <f t="shared" si="33"/>
        <v> </v>
      </c>
      <c r="E306" s="31" t="str">
        <f>IF(D306=" "," ",($E$26-$B$3*($F$8))*((D306/($F$8))-($C$18/(PI()))*SIN((PI()*D306)/($F$8)))+$B$3*D306)</f>
        <v> </v>
      </c>
      <c r="F306" s="31" t="str">
        <f t="shared" si="37"/>
        <v> </v>
      </c>
      <c r="G306" s="31"/>
      <c r="H306" s="31" t="str">
        <f t="shared" si="34"/>
        <v> </v>
      </c>
      <c r="I306" s="31" t="str">
        <f>IF(H306=" "," ",($I$26-$D$3*$F$13)*((H306/$F$13)-($C$18/(PI()))*SIN((PI()*H306)/$F$13))+$D$3*H306)</f>
        <v> </v>
      </c>
      <c r="J306" s="31" t="str">
        <f t="shared" si="38"/>
        <v> </v>
      </c>
      <c r="K306" s="31" t="str">
        <f t="shared" si="35"/>
        <v> </v>
      </c>
      <c r="L306" s="31" t="str">
        <f>IF(K306=" "," ",($L$26-$D$3*$F$12)*((K306/$F$12)-($C$18/(PI()))*SIN((PI()*K306)/$F$12))+$D$3*K306)</f>
        <v> </v>
      </c>
      <c r="M306" s="31" t="str">
        <f t="shared" si="39"/>
        <v> </v>
      </c>
    </row>
    <row r="307" spans="1:13">
      <c r="A307" s="31" t="str">
        <f t="shared" si="32"/>
        <v> </v>
      </c>
      <c r="B307" s="31" t="str">
        <f>IF(A307=" "," ",($B$26-$B$3*($F$9))*((A307/($F$9))-($C$18/(PI()))*SIN((PI()*A307)/($F$9)))+$B$3*A307)</f>
        <v> </v>
      </c>
      <c r="C307" s="31" t="str">
        <f t="shared" si="36"/>
        <v> </v>
      </c>
      <c r="D307" s="31" t="str">
        <f t="shared" si="33"/>
        <v> </v>
      </c>
      <c r="E307" s="31" t="str">
        <f>IF(D307=" "," ",($E$26-$B$3*($F$8))*((D307/($F$8))-($C$18/(PI()))*SIN((PI()*D307)/($F$8)))+$B$3*D307)</f>
        <v> </v>
      </c>
      <c r="F307" s="31" t="str">
        <f t="shared" si="37"/>
        <v> </v>
      </c>
      <c r="G307" s="31"/>
      <c r="H307" s="31" t="str">
        <f t="shared" si="34"/>
        <v> </v>
      </c>
      <c r="I307" s="31" t="str">
        <f>IF(H307=" "," ",($I$26-$D$3*$F$13)*((H307/$F$13)-($C$18/(PI()))*SIN((PI()*H307)/$F$13))+$D$3*H307)</f>
        <v> </v>
      </c>
      <c r="J307" s="31" t="str">
        <f t="shared" si="38"/>
        <v> </v>
      </c>
      <c r="K307" s="31" t="str">
        <f t="shared" si="35"/>
        <v> </v>
      </c>
      <c r="L307" s="31" t="str">
        <f>IF(K307=" "," ",($L$26-$D$3*$F$12)*((K307/$F$12)-($C$18/(PI()))*SIN((PI()*K307)/$F$12))+$D$3*K307)</f>
        <v> </v>
      </c>
      <c r="M307" s="31" t="str">
        <f t="shared" si="39"/>
        <v> </v>
      </c>
    </row>
    <row r="308" spans="1:13">
      <c r="A308" s="31" t="str">
        <f t="shared" si="32"/>
        <v> </v>
      </c>
      <c r="B308" s="31" t="str">
        <f>IF(A308=" "," ",($B$26-$B$3*($F$9))*((A308/($F$9))-($C$18/(PI()))*SIN((PI()*A308)/($F$9)))+$B$3*A308)</f>
        <v> </v>
      </c>
      <c r="C308" s="31" t="str">
        <f t="shared" si="36"/>
        <v> </v>
      </c>
      <c r="D308" s="31" t="str">
        <f t="shared" si="33"/>
        <v> </v>
      </c>
      <c r="E308" s="31" t="str">
        <f>IF(D308=" "," ",($E$26-$B$3*($F$8))*((D308/($F$8))-($C$18/(PI()))*SIN((PI()*D308)/($F$8)))+$B$3*D308)</f>
        <v> </v>
      </c>
      <c r="F308" s="31" t="str">
        <f t="shared" si="37"/>
        <v> </v>
      </c>
      <c r="G308" s="31"/>
      <c r="H308" s="31" t="str">
        <f t="shared" si="34"/>
        <v> </v>
      </c>
      <c r="I308" s="31" t="str">
        <f>IF(H308=" "," ",($I$26-$D$3*$F$13)*((H308/$F$13)-($C$18/(PI()))*SIN((PI()*H308)/$F$13))+$D$3*H308)</f>
        <v> </v>
      </c>
      <c r="J308" s="31" t="str">
        <f t="shared" si="38"/>
        <v> </v>
      </c>
      <c r="K308" s="31" t="str">
        <f t="shared" si="35"/>
        <v> </v>
      </c>
      <c r="L308" s="31" t="str">
        <f>IF(K308=" "," ",($L$26-$D$3*$F$12)*((K308/$F$12)-($C$18/(PI()))*SIN((PI()*K308)/$F$12))+$D$3*K308)</f>
        <v> </v>
      </c>
      <c r="M308" s="31" t="str">
        <f t="shared" si="39"/>
        <v> </v>
      </c>
    </row>
    <row r="309" spans="1:13">
      <c r="A309" s="31" t="str">
        <f t="shared" si="32"/>
        <v> </v>
      </c>
      <c r="B309" s="31" t="str">
        <f>IF(A309=" "," ",($B$26-$B$3*($F$9))*((A309/($F$9))-($C$18/(PI()))*SIN((PI()*A309)/($F$9)))+$B$3*A309)</f>
        <v> </v>
      </c>
      <c r="C309" s="31" t="str">
        <f t="shared" si="36"/>
        <v> </v>
      </c>
      <c r="D309" s="31" t="str">
        <f t="shared" si="33"/>
        <v> </v>
      </c>
      <c r="E309" s="31" t="str">
        <f>IF(D309=" "," ",($E$26-$B$3*($F$8))*((D309/($F$8))-($C$18/(PI()))*SIN((PI()*D309)/($F$8)))+$B$3*D309)</f>
        <v> </v>
      </c>
      <c r="F309" s="31" t="str">
        <f t="shared" si="37"/>
        <v> </v>
      </c>
      <c r="G309" s="31"/>
      <c r="H309" s="31" t="str">
        <f t="shared" si="34"/>
        <v> </v>
      </c>
      <c r="I309" s="31" t="str">
        <f>IF(H309=" "," ",($I$26-$D$3*$F$13)*((H309/$F$13)-($C$18/(PI()))*SIN((PI()*H309)/$F$13))+$D$3*H309)</f>
        <v> </v>
      </c>
      <c r="J309" s="31" t="str">
        <f t="shared" si="38"/>
        <v> </v>
      </c>
      <c r="K309" s="31" t="str">
        <f t="shared" si="35"/>
        <v> </v>
      </c>
      <c r="L309" s="31" t="str">
        <f>IF(K309=" "," ",($L$26-$D$3*$F$12)*((K309/$F$12)-($C$18/(PI()))*SIN((PI()*K309)/$F$12))+$D$3*K309)</f>
        <v> </v>
      </c>
      <c r="M309" s="31" t="str">
        <f t="shared" si="39"/>
        <v> </v>
      </c>
    </row>
    <row r="310" spans="1:13">
      <c r="A310" s="31" t="str">
        <f t="shared" si="32"/>
        <v> </v>
      </c>
      <c r="B310" s="31" t="str">
        <f>IF(A310=" "," ",($B$26-$B$3*($F$9))*((A310/($F$9))-($C$18/(PI()))*SIN((PI()*A310)/($F$9)))+$B$3*A310)</f>
        <v> </v>
      </c>
      <c r="C310" s="31" t="str">
        <f t="shared" si="36"/>
        <v> </v>
      </c>
      <c r="D310" s="31" t="str">
        <f t="shared" si="33"/>
        <v> </v>
      </c>
      <c r="E310" s="31" t="str">
        <f>IF(D310=" "," ",($E$26-$B$3*($F$8))*((D310/($F$8))-($C$18/(PI()))*SIN((PI()*D310)/($F$8)))+$B$3*D310)</f>
        <v> </v>
      </c>
      <c r="F310" s="31" t="str">
        <f t="shared" si="37"/>
        <v> </v>
      </c>
      <c r="G310" s="31"/>
      <c r="H310" s="31" t="str">
        <f t="shared" si="34"/>
        <v> </v>
      </c>
      <c r="I310" s="31" t="str">
        <f>IF(H310=" "," ",($I$26-$D$3*$F$13)*((H310/$F$13)-($C$18/(PI()))*SIN((PI()*H310)/$F$13))+$D$3*H310)</f>
        <v> </v>
      </c>
      <c r="J310" s="31" t="str">
        <f t="shared" si="38"/>
        <v> </v>
      </c>
      <c r="K310" s="31" t="str">
        <f t="shared" si="35"/>
        <v> </v>
      </c>
      <c r="L310" s="31" t="str">
        <f>IF(K310=" "," ",($L$26-$D$3*$F$12)*((K310/$F$12)-($C$18/(PI()))*SIN((PI()*K310)/$F$12))+$D$3*K310)</f>
        <v> </v>
      </c>
      <c r="M310" s="31" t="str">
        <f t="shared" si="39"/>
        <v> </v>
      </c>
    </row>
    <row r="311" spans="1:13">
      <c r="A311" s="31" t="str">
        <f t="shared" si="32"/>
        <v> </v>
      </c>
      <c r="B311" s="31" t="str">
        <f>IF(A311=" "," ",($B$26-$B$3*($F$9))*((A311/($F$9))-($C$18/(PI()))*SIN((PI()*A311)/($F$9)))+$B$3*A311)</f>
        <v> </v>
      </c>
      <c r="C311" s="31" t="str">
        <f t="shared" si="36"/>
        <v> </v>
      </c>
      <c r="D311" s="31" t="str">
        <f t="shared" si="33"/>
        <v> </v>
      </c>
      <c r="E311" s="31" t="str">
        <f>IF(D311=" "," ",($E$26-$B$3*($F$8))*((D311/($F$8))-($C$18/(PI()))*SIN((PI()*D311)/($F$8)))+$B$3*D311)</f>
        <v> </v>
      </c>
      <c r="F311" s="31" t="str">
        <f t="shared" si="37"/>
        <v> </v>
      </c>
      <c r="G311" s="31"/>
      <c r="H311" s="31" t="str">
        <f t="shared" si="34"/>
        <v> </v>
      </c>
      <c r="I311" s="31" t="str">
        <f>IF(H311=" "," ",($I$26-$D$3*$F$13)*((H311/$F$13)-($C$18/(PI()))*SIN((PI()*H311)/$F$13))+$D$3*H311)</f>
        <v> </v>
      </c>
      <c r="J311" s="31" t="str">
        <f t="shared" si="38"/>
        <v> </v>
      </c>
      <c r="K311" s="31" t="str">
        <f t="shared" si="35"/>
        <v> </v>
      </c>
      <c r="L311" s="31" t="str">
        <f>IF(K311=" "," ",($L$26-$D$3*$F$12)*((K311/$F$12)-($C$18/(PI()))*SIN((PI()*K311)/$F$12))+$D$3*K311)</f>
        <v> </v>
      </c>
      <c r="M311" s="31" t="str">
        <f t="shared" si="39"/>
        <v> </v>
      </c>
    </row>
    <row r="312" spans="1:13">
      <c r="A312" s="31" t="str">
        <f t="shared" si="32"/>
        <v> </v>
      </c>
      <c r="B312" s="31" t="str">
        <f>IF(A312=" "," ",($B$26-$B$3*($F$9))*((A312/($F$9))-($C$18/(PI()))*SIN((PI()*A312)/($F$9)))+$B$3*A312)</f>
        <v> </v>
      </c>
      <c r="C312" s="31" t="str">
        <f t="shared" si="36"/>
        <v> </v>
      </c>
      <c r="D312" s="31" t="str">
        <f t="shared" si="33"/>
        <v> </v>
      </c>
      <c r="E312" s="31" t="str">
        <f>IF(D312=" "," ",($E$26-$B$3*($F$8))*((D312/($F$8))-($C$18/(PI()))*SIN((PI()*D312)/($F$8)))+$B$3*D312)</f>
        <v> </v>
      </c>
      <c r="F312" s="31" t="str">
        <f t="shared" si="37"/>
        <v> </v>
      </c>
      <c r="G312" s="31"/>
      <c r="H312" s="31" t="str">
        <f t="shared" si="34"/>
        <v> </v>
      </c>
      <c r="I312" s="31" t="str">
        <f>IF(H312=" "," ",($I$26-$D$3*$F$13)*((H312/$F$13)-($C$18/(PI()))*SIN((PI()*H312)/$F$13))+$D$3*H312)</f>
        <v> </v>
      </c>
      <c r="J312" s="31" t="str">
        <f t="shared" si="38"/>
        <v> </v>
      </c>
      <c r="K312" s="31" t="str">
        <f t="shared" si="35"/>
        <v> </v>
      </c>
      <c r="L312" s="31" t="str">
        <f>IF(K312=" "," ",($L$26-$D$3*$F$12)*((K312/$F$12)-($C$18/(PI()))*SIN((PI()*K312)/$F$12))+$D$3*K312)</f>
        <v> </v>
      </c>
      <c r="M312" s="31" t="str">
        <f t="shared" si="39"/>
        <v> </v>
      </c>
    </row>
    <row r="313" spans="1:13">
      <c r="A313" s="31" t="str">
        <f t="shared" si="32"/>
        <v> </v>
      </c>
      <c r="B313" s="31" t="str">
        <f>IF(A313=" "," ",($B$26-$B$3*($F$9))*((A313/($F$9))-($C$18/(PI()))*SIN((PI()*A313)/($F$9)))+$B$3*A313)</f>
        <v> </v>
      </c>
      <c r="C313" s="31" t="str">
        <f t="shared" si="36"/>
        <v> </v>
      </c>
      <c r="D313" s="31" t="str">
        <f t="shared" si="33"/>
        <v> </v>
      </c>
      <c r="E313" s="31" t="str">
        <f>IF(D313=" "," ",($E$26-$B$3*($F$8))*((D313/($F$8))-($C$18/(PI()))*SIN((PI()*D313)/($F$8)))+$B$3*D313)</f>
        <v> </v>
      </c>
      <c r="F313" s="31" t="str">
        <f t="shared" si="37"/>
        <v> </v>
      </c>
      <c r="G313" s="31"/>
      <c r="H313" s="31" t="str">
        <f t="shared" si="34"/>
        <v> </v>
      </c>
      <c r="I313" s="31" t="str">
        <f>IF(H313=" "," ",($I$26-$D$3*$F$13)*((H313/$F$13)-($C$18/(PI()))*SIN((PI()*H313)/$F$13))+$D$3*H313)</f>
        <v> </v>
      </c>
      <c r="J313" s="31" t="str">
        <f t="shared" si="38"/>
        <v> </v>
      </c>
      <c r="K313" s="31" t="str">
        <f t="shared" si="35"/>
        <v> </v>
      </c>
      <c r="L313" s="31" t="str">
        <f>IF(K313=" "," ",($L$26-$D$3*$F$12)*((K313/$F$12)-($C$18/(PI()))*SIN((PI()*K313)/$F$12))+$D$3*K313)</f>
        <v> </v>
      </c>
      <c r="M313" s="31" t="str">
        <f t="shared" si="39"/>
        <v> </v>
      </c>
    </row>
    <row r="314" spans="1:13">
      <c r="A314" s="31" t="str">
        <f t="shared" si="32"/>
        <v> </v>
      </c>
      <c r="B314" s="31" t="str">
        <f>IF(A314=" "," ",($B$26-$B$3*($F$9))*((A314/($F$9))-($C$18/(PI()))*SIN((PI()*A314)/($F$9)))+$B$3*A314)</f>
        <v> </v>
      </c>
      <c r="C314" s="31" t="str">
        <f t="shared" si="36"/>
        <v> </v>
      </c>
      <c r="D314" s="31" t="str">
        <f t="shared" si="33"/>
        <v> </v>
      </c>
      <c r="E314" s="31" t="str">
        <f>IF(D314=" "," ",($E$26-$B$3*($F$8))*((D314/($F$8))-($C$18/(PI()))*SIN((PI()*D314)/($F$8)))+$B$3*D314)</f>
        <v> </v>
      </c>
      <c r="F314" s="31" t="str">
        <f t="shared" si="37"/>
        <v> </v>
      </c>
      <c r="G314" s="31"/>
      <c r="H314" s="31" t="str">
        <f t="shared" si="34"/>
        <v> </v>
      </c>
      <c r="I314" s="31" t="str">
        <f>IF(H314=" "," ",($I$26-$D$3*$F$13)*((H314/$F$13)-($C$18/(PI()))*SIN((PI()*H314)/$F$13))+$D$3*H314)</f>
        <v> </v>
      </c>
      <c r="J314" s="31" t="str">
        <f t="shared" si="38"/>
        <v> </v>
      </c>
      <c r="K314" s="31" t="str">
        <f t="shared" si="35"/>
        <v> </v>
      </c>
      <c r="L314" s="31" t="str">
        <f>IF(K314=" "," ",($L$26-$D$3*$F$12)*((K314/$F$12)-($C$18/(PI()))*SIN((PI()*K314)/$F$12))+$D$3*K314)</f>
        <v> </v>
      </c>
      <c r="M314" s="31" t="str">
        <f t="shared" si="39"/>
        <v> </v>
      </c>
    </row>
    <row r="315" spans="1:13">
      <c r="A315" s="31" t="str">
        <f t="shared" si="32"/>
        <v> </v>
      </c>
      <c r="B315" s="31" t="str">
        <f>IF(A315=" "," ",($B$26-$B$3*($F$9))*((A315/($F$9))-($C$18/(PI()))*SIN((PI()*A315)/($F$9)))+$B$3*A315)</f>
        <v> </v>
      </c>
      <c r="C315" s="31" t="str">
        <f t="shared" si="36"/>
        <v> </v>
      </c>
      <c r="D315" s="31" t="str">
        <f t="shared" si="33"/>
        <v> </v>
      </c>
      <c r="E315" s="31" t="str">
        <f>IF(D315=" "," ",($E$26-$B$3*($F$8))*((D315/($F$8))-($C$18/(PI()))*SIN((PI()*D315)/($F$8)))+$B$3*D315)</f>
        <v> </v>
      </c>
      <c r="F315" s="31" t="str">
        <f t="shared" si="37"/>
        <v> </v>
      </c>
      <c r="G315" s="31"/>
      <c r="H315" s="31" t="str">
        <f t="shared" si="34"/>
        <v> </v>
      </c>
      <c r="I315" s="31" t="str">
        <f>IF(H315=" "," ",($I$26-$D$3*$F$13)*((H315/$F$13)-($C$18/(PI()))*SIN((PI()*H315)/$F$13))+$D$3*H315)</f>
        <v> </v>
      </c>
      <c r="J315" s="31" t="str">
        <f t="shared" si="38"/>
        <v> </v>
      </c>
      <c r="K315" s="31" t="str">
        <f t="shared" si="35"/>
        <v> </v>
      </c>
      <c r="L315" s="31" t="str">
        <f>IF(K315=" "," ",($L$26-$D$3*$F$12)*((K315/$F$12)-($C$18/(PI()))*SIN((PI()*K315)/$F$12))+$D$3*K315)</f>
        <v> </v>
      </c>
      <c r="M315" s="31" t="str">
        <f t="shared" si="39"/>
        <v> </v>
      </c>
    </row>
    <row r="316" spans="1:13">
      <c r="A316" s="31" t="str">
        <f t="shared" si="32"/>
        <v> </v>
      </c>
      <c r="B316" s="31" t="str">
        <f>IF(A316=" "," ",($B$26-$B$3*($F$9))*((A316/($F$9))-($C$18/(PI()))*SIN((PI()*A316)/($F$9)))+$B$3*A316)</f>
        <v> </v>
      </c>
      <c r="C316" s="31" t="str">
        <f t="shared" si="36"/>
        <v> </v>
      </c>
      <c r="D316" s="31" t="str">
        <f t="shared" si="33"/>
        <v> </v>
      </c>
      <c r="E316" s="31" t="str">
        <f>IF(D316=" "," ",($E$26-$B$3*($F$8))*((D316/($F$8))-($C$18/(PI()))*SIN((PI()*D316)/($F$8)))+$B$3*D316)</f>
        <v> </v>
      </c>
      <c r="F316" s="31" t="str">
        <f t="shared" si="37"/>
        <v> </v>
      </c>
      <c r="G316" s="31"/>
      <c r="H316" s="31" t="str">
        <f t="shared" si="34"/>
        <v> </v>
      </c>
      <c r="I316" s="31" t="str">
        <f>IF(H316=" "," ",($I$26-$D$3*$F$13)*((H316/$F$13)-($C$18/(PI()))*SIN((PI()*H316)/$F$13))+$D$3*H316)</f>
        <v> </v>
      </c>
      <c r="J316" s="31" t="str">
        <f t="shared" si="38"/>
        <v> </v>
      </c>
      <c r="K316" s="31" t="str">
        <f t="shared" si="35"/>
        <v> </v>
      </c>
      <c r="L316" s="31" t="str">
        <f>IF(K316=" "," ",($L$26-$D$3*$F$12)*((K316/$F$12)-($C$18/(PI()))*SIN((PI()*K316)/$F$12))+$D$3*K316)</f>
        <v> </v>
      </c>
      <c r="M316" s="31" t="str">
        <f t="shared" si="39"/>
        <v> </v>
      </c>
    </row>
    <row r="317" spans="1:13">
      <c r="A317" s="31" t="str">
        <f t="shared" si="32"/>
        <v> </v>
      </c>
      <c r="B317" s="31" t="str">
        <f>IF(A317=" "," ",($B$26-$B$3*($F$9))*((A317/($F$9))-($C$18/(PI()))*SIN((PI()*A317)/($F$9)))+$B$3*A317)</f>
        <v> </v>
      </c>
      <c r="C317" s="31" t="str">
        <f t="shared" si="36"/>
        <v> </v>
      </c>
      <c r="D317" s="31" t="str">
        <f t="shared" si="33"/>
        <v> </v>
      </c>
      <c r="E317" s="31" t="str">
        <f>IF(D317=" "," ",($E$26-$B$3*($F$8))*((D317/($F$8))-($C$18/(PI()))*SIN((PI()*D317)/($F$8)))+$B$3*D317)</f>
        <v> </v>
      </c>
      <c r="F317" s="31" t="str">
        <f t="shared" si="37"/>
        <v> </v>
      </c>
      <c r="G317" s="31"/>
      <c r="H317" s="31" t="str">
        <f t="shared" si="34"/>
        <v> </v>
      </c>
      <c r="I317" s="31" t="str">
        <f>IF(H317=" "," ",($I$26-$D$3*$F$13)*((H317/$F$13)-($C$18/(PI()))*SIN((PI()*H317)/$F$13))+$D$3*H317)</f>
        <v> </v>
      </c>
      <c r="J317" s="31" t="str">
        <f t="shared" si="38"/>
        <v> </v>
      </c>
      <c r="K317" s="31" t="str">
        <f t="shared" si="35"/>
        <v> </v>
      </c>
      <c r="L317" s="31" t="str">
        <f>IF(K317=" "," ",($L$26-$D$3*$F$12)*((K317/$F$12)-($C$18/(PI()))*SIN((PI()*K317)/$F$12))+$D$3*K317)</f>
        <v> </v>
      </c>
      <c r="M317" s="31" t="str">
        <f t="shared" si="39"/>
        <v> </v>
      </c>
    </row>
    <row r="318" spans="1:13">
      <c r="A318" s="31" t="str">
        <f t="shared" si="32"/>
        <v> </v>
      </c>
      <c r="B318" s="31" t="str">
        <f>IF(A318=" "," ",($B$26-$B$3*($F$9))*((A318/($F$9))-($C$18/(PI()))*SIN((PI()*A318)/($F$9)))+$B$3*A318)</f>
        <v> </v>
      </c>
      <c r="C318" s="31" t="str">
        <f t="shared" si="36"/>
        <v> </v>
      </c>
      <c r="D318" s="31" t="str">
        <f t="shared" si="33"/>
        <v> </v>
      </c>
      <c r="E318" s="31" t="str">
        <f>IF(D318=" "," ",($E$26-$B$3*($F$8))*((D318/($F$8))-($C$18/(PI()))*SIN((PI()*D318)/($F$8)))+$B$3*D318)</f>
        <v> </v>
      </c>
      <c r="F318" s="31" t="str">
        <f t="shared" si="37"/>
        <v> </v>
      </c>
      <c r="G318" s="31"/>
      <c r="H318" s="31" t="str">
        <f t="shared" si="34"/>
        <v> </v>
      </c>
      <c r="I318" s="31" t="str">
        <f>IF(H318=" "," ",($I$26-$D$3*$F$13)*((H318/$F$13)-($C$18/(PI()))*SIN((PI()*H318)/$F$13))+$D$3*H318)</f>
        <v> </v>
      </c>
      <c r="J318" s="31" t="str">
        <f t="shared" si="38"/>
        <v> </v>
      </c>
      <c r="K318" s="31" t="str">
        <f t="shared" si="35"/>
        <v> </v>
      </c>
      <c r="L318" s="31" t="str">
        <f>IF(K318=" "," ",($L$26-$D$3*$F$12)*((K318/$F$12)-($C$18/(PI()))*SIN((PI()*K318)/$F$12))+$D$3*K318)</f>
        <v> </v>
      </c>
      <c r="M318" s="31" t="str">
        <f t="shared" si="39"/>
        <v> </v>
      </c>
    </row>
    <row r="319" spans="1:13">
      <c r="A319" s="31" t="str">
        <f t="shared" si="32"/>
        <v> </v>
      </c>
      <c r="B319" s="31" t="str">
        <f>IF(A319=" "," ",($B$26-$B$3*($F$9))*((A319/($F$9))-($C$18/(PI()))*SIN((PI()*A319)/($F$9)))+$B$3*A319)</f>
        <v> </v>
      </c>
      <c r="C319" s="31" t="str">
        <f t="shared" si="36"/>
        <v> </v>
      </c>
      <c r="D319" s="31" t="str">
        <f t="shared" si="33"/>
        <v> </v>
      </c>
      <c r="E319" s="31" t="str">
        <f>IF(D319=" "," ",($E$26-$B$3*($F$8))*((D319/($F$8))-($C$18/(PI()))*SIN((PI()*D319)/($F$8)))+$B$3*D319)</f>
        <v> </v>
      </c>
      <c r="F319" s="31" t="str">
        <f t="shared" si="37"/>
        <v> </v>
      </c>
      <c r="G319" s="31"/>
      <c r="H319" s="31" t="str">
        <f t="shared" si="34"/>
        <v> </v>
      </c>
      <c r="I319" s="31" t="str">
        <f>IF(H319=" "," ",($I$26-$D$3*$F$13)*((H319/$F$13)-($C$18/(PI()))*SIN((PI()*H319)/$F$13))+$D$3*H319)</f>
        <v> </v>
      </c>
      <c r="J319" s="31" t="str">
        <f t="shared" si="38"/>
        <v> </v>
      </c>
      <c r="K319" s="31" t="str">
        <f t="shared" si="35"/>
        <v> </v>
      </c>
      <c r="L319" s="31" t="str">
        <f>IF(K319=" "," ",($L$26-$D$3*$F$12)*((K319/$F$12)-($C$18/(PI()))*SIN((PI()*K319)/$F$12))+$D$3*K319)</f>
        <v> </v>
      </c>
      <c r="M319" s="31" t="str">
        <f t="shared" si="39"/>
        <v> </v>
      </c>
    </row>
    <row r="320" spans="1:13">
      <c r="A320" s="31" t="str">
        <f t="shared" si="32"/>
        <v> </v>
      </c>
      <c r="B320" s="31" t="str">
        <f>IF(A320=" "," ",($B$26-$B$3*($F$9))*((A320/($F$9))-($C$18/(PI()))*SIN((PI()*A320)/($F$9)))+$B$3*A320)</f>
        <v> </v>
      </c>
      <c r="C320" s="31" t="str">
        <f t="shared" si="36"/>
        <v> </v>
      </c>
      <c r="D320" s="31" t="str">
        <f t="shared" si="33"/>
        <v> </v>
      </c>
      <c r="E320" s="31" t="str">
        <f>IF(D320=" "," ",($E$26-$B$3*($F$8))*((D320/($F$8))-($C$18/(PI()))*SIN((PI()*D320)/($F$8)))+$B$3*D320)</f>
        <v> </v>
      </c>
      <c r="F320" s="31" t="str">
        <f t="shared" si="37"/>
        <v> </v>
      </c>
      <c r="G320" s="31"/>
      <c r="H320" s="31" t="str">
        <f t="shared" si="34"/>
        <v> </v>
      </c>
      <c r="I320" s="31" t="str">
        <f>IF(H320=" "," ",($I$26-$D$3*$F$13)*((H320/$F$13)-($C$18/(PI()))*SIN((PI()*H320)/$F$13))+$D$3*H320)</f>
        <v> </v>
      </c>
      <c r="J320" s="31" t="str">
        <f t="shared" si="38"/>
        <v> </v>
      </c>
      <c r="K320" s="31" t="str">
        <f t="shared" si="35"/>
        <v> </v>
      </c>
      <c r="L320" s="31" t="str">
        <f>IF(K320=" "," ",($L$26-$D$3*$F$12)*((K320/$F$12)-($C$18/(PI()))*SIN((PI()*K320)/$F$12))+$D$3*K320)</f>
        <v> </v>
      </c>
      <c r="M320" s="31" t="str">
        <f t="shared" si="39"/>
        <v> </v>
      </c>
    </row>
    <row r="321" spans="1:13">
      <c r="A321" s="31" t="str">
        <f t="shared" si="32"/>
        <v> </v>
      </c>
      <c r="B321" s="31" t="str">
        <f>IF(A321=" "," ",($B$26-$B$3*($F$9))*((A321/($F$9))-($C$18/(PI()))*SIN((PI()*A321)/($F$9)))+$B$3*A321)</f>
        <v> </v>
      </c>
      <c r="C321" s="31" t="str">
        <f t="shared" si="36"/>
        <v> </v>
      </c>
      <c r="D321" s="31" t="str">
        <f t="shared" si="33"/>
        <v> </v>
      </c>
      <c r="E321" s="31" t="str">
        <f>IF(D321=" "," ",($E$26-$B$3*($F$8))*((D321/($F$8))-($C$18/(PI()))*SIN((PI()*D321)/($F$8)))+$B$3*D321)</f>
        <v> </v>
      </c>
      <c r="F321" s="31" t="str">
        <f t="shared" si="37"/>
        <v> </v>
      </c>
      <c r="G321" s="31"/>
      <c r="H321" s="31" t="str">
        <f t="shared" si="34"/>
        <v> </v>
      </c>
      <c r="I321" s="31" t="str">
        <f>IF(H321=" "," ",($I$26-$D$3*$F$13)*((H321/$F$13)-($C$18/(PI()))*SIN((PI()*H321)/$F$13))+$D$3*H321)</f>
        <v> </v>
      </c>
      <c r="J321" s="31" t="str">
        <f t="shared" si="38"/>
        <v> </v>
      </c>
      <c r="K321" s="31" t="str">
        <f t="shared" si="35"/>
        <v> </v>
      </c>
      <c r="L321" s="31" t="str">
        <f>IF(K321=" "," ",($L$26-$D$3*$F$12)*((K321/$F$12)-($C$18/(PI()))*SIN((PI()*K321)/$F$12))+$D$3*K321)</f>
        <v> </v>
      </c>
      <c r="M321" s="31" t="str">
        <f t="shared" si="39"/>
        <v> </v>
      </c>
    </row>
    <row r="322" spans="1:13">
      <c r="A322" s="31" t="str">
        <f t="shared" si="32"/>
        <v> </v>
      </c>
      <c r="B322" s="31" t="str">
        <f>IF(A322=" "," ",($B$26-$B$3*($F$9))*((A322/($F$9))-($C$18/(PI()))*SIN((PI()*A322)/($F$9)))+$B$3*A322)</f>
        <v> </v>
      </c>
      <c r="C322" s="31" t="str">
        <f t="shared" si="36"/>
        <v> </v>
      </c>
      <c r="D322" s="31" t="str">
        <f t="shared" si="33"/>
        <v> </v>
      </c>
      <c r="E322" s="31" t="str">
        <f>IF(D322=" "," ",($E$26-$B$3*($F$8))*((D322/($F$8))-($C$18/(PI()))*SIN((PI()*D322)/($F$8)))+$B$3*D322)</f>
        <v> </v>
      </c>
      <c r="F322" s="31" t="str">
        <f t="shared" si="37"/>
        <v> </v>
      </c>
      <c r="G322" s="31"/>
      <c r="H322" s="31" t="str">
        <f t="shared" si="34"/>
        <v> </v>
      </c>
      <c r="I322" s="31" t="str">
        <f>IF(H322=" "," ",($I$26-$D$3*$F$13)*((H322/$F$13)-($C$18/(PI()))*SIN((PI()*H322)/$F$13))+$D$3*H322)</f>
        <v> </v>
      </c>
      <c r="J322" s="31" t="str">
        <f t="shared" si="38"/>
        <v> </v>
      </c>
      <c r="K322" s="31" t="str">
        <f t="shared" si="35"/>
        <v> </v>
      </c>
      <c r="L322" s="31" t="str">
        <f>IF(K322=" "," ",($L$26-$D$3*$F$12)*((K322/$F$12)-($C$18/(PI()))*SIN((PI()*K322)/$F$12))+$D$3*K322)</f>
        <v> </v>
      </c>
      <c r="M322" s="31" t="str">
        <f t="shared" si="39"/>
        <v> </v>
      </c>
    </row>
    <row r="323" spans="1:13">
      <c r="A323" s="31" t="str">
        <f t="shared" si="32"/>
        <v> </v>
      </c>
      <c r="B323" s="31" t="str">
        <f>IF(A323=" "," ",($B$26-$B$3*($F$9))*((A323/($F$9))-($C$18/(PI()))*SIN((PI()*A323)/($F$9)))+$B$3*A323)</f>
        <v> </v>
      </c>
      <c r="C323" s="31" t="str">
        <f t="shared" si="36"/>
        <v> </v>
      </c>
      <c r="D323" s="31" t="str">
        <f t="shared" si="33"/>
        <v> </v>
      </c>
      <c r="E323" s="31" t="str">
        <f>IF(D323=" "," ",($E$26-$B$3*($F$8))*((D323/($F$8))-($C$18/(PI()))*SIN((PI()*D323)/($F$8)))+$B$3*D323)</f>
        <v> </v>
      </c>
      <c r="F323" s="31" t="str">
        <f t="shared" si="37"/>
        <v> </v>
      </c>
      <c r="G323" s="31"/>
      <c r="H323" s="31" t="str">
        <f t="shared" si="34"/>
        <v> </v>
      </c>
      <c r="I323" s="31" t="str">
        <f>IF(H323=" "," ",($I$26-$D$3*$F$13)*((H323/$F$13)-($C$18/(PI()))*SIN((PI()*H323)/$F$13))+$D$3*H323)</f>
        <v> </v>
      </c>
      <c r="J323" s="31" t="str">
        <f t="shared" si="38"/>
        <v> </v>
      </c>
      <c r="K323" s="31" t="str">
        <f t="shared" si="35"/>
        <v> </v>
      </c>
      <c r="L323" s="31" t="str">
        <f>IF(K323=" "," ",($L$26-$D$3*$F$12)*((K323/$F$12)-($C$18/(PI()))*SIN((PI()*K323)/$F$12))+$D$3*K323)</f>
        <v> </v>
      </c>
      <c r="M323" s="31" t="str">
        <f t="shared" si="39"/>
        <v> </v>
      </c>
    </row>
    <row r="324" spans="1:13">
      <c r="A324" s="31" t="str">
        <f t="shared" si="32"/>
        <v> </v>
      </c>
      <c r="B324" s="31" t="str">
        <f>IF(A324=" "," ",($B$26-$B$3*($F$9))*((A324/($F$9))-($C$18/(PI()))*SIN((PI()*A324)/($F$9)))+$B$3*A324)</f>
        <v> </v>
      </c>
      <c r="C324" s="31" t="str">
        <f t="shared" si="36"/>
        <v> </v>
      </c>
      <c r="D324" s="31" t="str">
        <f t="shared" si="33"/>
        <v> </v>
      </c>
      <c r="E324" s="31" t="str">
        <f>IF(D324=" "," ",($E$26-$B$3*($F$8))*((D324/($F$8))-($C$18/(PI()))*SIN((PI()*D324)/($F$8)))+$B$3*D324)</f>
        <v> </v>
      </c>
      <c r="F324" s="31" t="str">
        <f t="shared" si="37"/>
        <v> </v>
      </c>
      <c r="G324" s="31"/>
      <c r="H324" s="31" t="str">
        <f t="shared" si="34"/>
        <v> </v>
      </c>
      <c r="I324" s="31" t="str">
        <f>IF(H324=" "," ",($I$26-$D$3*$F$13)*((H324/$F$13)-($C$18/(PI()))*SIN((PI()*H324)/$F$13))+$D$3*H324)</f>
        <v> </v>
      </c>
      <c r="J324" s="31" t="str">
        <f t="shared" si="38"/>
        <v> </v>
      </c>
      <c r="K324" s="31" t="str">
        <f t="shared" si="35"/>
        <v> </v>
      </c>
      <c r="L324" s="31" t="str">
        <f>IF(K324=" "," ",($L$26-$D$3*$F$12)*((K324/$F$12)-($C$18/(PI()))*SIN((PI()*K324)/$F$12))+$D$3*K324)</f>
        <v> </v>
      </c>
      <c r="M324" s="31" t="str">
        <f t="shared" si="39"/>
        <v> </v>
      </c>
    </row>
    <row r="325" spans="1:13">
      <c r="A325" s="31" t="str">
        <f t="shared" si="32"/>
        <v> </v>
      </c>
      <c r="B325" s="31" t="str">
        <f>IF(A325=" "," ",($B$26-$B$3*($F$9))*((A325/($F$9))-($C$18/(PI()))*SIN((PI()*A325)/($F$9)))+$B$3*A325)</f>
        <v> </v>
      </c>
      <c r="C325" s="31" t="str">
        <f t="shared" si="36"/>
        <v> </v>
      </c>
      <c r="D325" s="31" t="str">
        <f t="shared" si="33"/>
        <v> </v>
      </c>
      <c r="E325" s="31" t="str">
        <f>IF(D325=" "," ",($E$26-$B$3*($F$8))*((D325/($F$8))-($C$18/(PI()))*SIN((PI()*D325)/($F$8)))+$B$3*D325)</f>
        <v> </v>
      </c>
      <c r="F325" s="31" t="str">
        <f t="shared" si="37"/>
        <v> </v>
      </c>
      <c r="G325" s="31"/>
      <c r="H325" s="31" t="str">
        <f t="shared" si="34"/>
        <v> </v>
      </c>
      <c r="I325" s="31" t="str">
        <f>IF(H325=" "," ",($I$26-$D$3*$F$13)*((H325/$F$13)-($C$18/(PI()))*SIN((PI()*H325)/$F$13))+$D$3*H325)</f>
        <v> </v>
      </c>
      <c r="J325" s="31" t="str">
        <f t="shared" si="38"/>
        <v> </v>
      </c>
      <c r="K325" s="31" t="str">
        <f t="shared" si="35"/>
        <v> </v>
      </c>
      <c r="L325" s="31" t="str">
        <f>IF(K325=" "," ",($L$26-$D$3*$F$12)*((K325/$F$12)-($C$18/(PI()))*SIN((PI()*K325)/$F$12))+$D$3*K325)</f>
        <v> </v>
      </c>
      <c r="M325" s="31" t="str">
        <f t="shared" si="39"/>
        <v> </v>
      </c>
    </row>
    <row r="326" spans="1:13">
      <c r="A326" s="31" t="str">
        <f t="shared" si="32"/>
        <v> </v>
      </c>
      <c r="B326" s="31" t="str">
        <f>IF(A326=" "," ",($B$26-$B$3*($F$9))*((A326/($F$9))-($C$18/(PI()))*SIN((PI()*A326)/($F$9)))+$B$3*A326)</f>
        <v> </v>
      </c>
      <c r="C326" s="31" t="str">
        <f t="shared" si="36"/>
        <v> </v>
      </c>
      <c r="D326" s="31" t="str">
        <f t="shared" si="33"/>
        <v> </v>
      </c>
      <c r="E326" s="31" t="str">
        <f>IF(D326=" "," ",($E$26-$B$3*($F$8))*((D326/($F$8))-($C$18/(PI()))*SIN((PI()*D326)/($F$8)))+$B$3*D326)</f>
        <v> </v>
      </c>
      <c r="F326" s="31" t="str">
        <f t="shared" si="37"/>
        <v> </v>
      </c>
      <c r="G326" s="31"/>
      <c r="H326" s="31" t="str">
        <f t="shared" si="34"/>
        <v> </v>
      </c>
      <c r="I326" s="31" t="str">
        <f>IF(H326=" "," ",($I$26-$D$3*$F$13)*((H326/$F$13)-($C$18/(PI()))*SIN((PI()*H326)/$F$13))+$D$3*H326)</f>
        <v> </v>
      </c>
      <c r="J326" s="31" t="str">
        <f t="shared" si="38"/>
        <v> </v>
      </c>
      <c r="K326" s="31" t="str">
        <f t="shared" si="35"/>
        <v> </v>
      </c>
      <c r="L326" s="31" t="str">
        <f>IF(K326=" "," ",($L$26-$D$3*$F$12)*((K326/$F$12)-($C$18/(PI()))*SIN((PI()*K326)/$F$12))+$D$3*K326)</f>
        <v> </v>
      </c>
      <c r="M326" s="31" t="str">
        <f t="shared" si="39"/>
        <v> </v>
      </c>
    </row>
    <row r="327" spans="1:13">
      <c r="A327" s="31" t="str">
        <f t="shared" si="32"/>
        <v> </v>
      </c>
      <c r="B327" s="31" t="str">
        <f>IF(A327=" "," ",($B$26-$B$3*($F$9))*((A327/($F$9))-($C$18/(PI()))*SIN((PI()*A327)/($F$9)))+$B$3*A327)</f>
        <v> </v>
      </c>
      <c r="C327" s="31" t="str">
        <f t="shared" si="36"/>
        <v> </v>
      </c>
      <c r="D327" s="31" t="str">
        <f t="shared" si="33"/>
        <v> </v>
      </c>
      <c r="E327" s="31" t="str">
        <f>IF(D327=" "," ",($E$26-$B$3*($F$8))*((D327/($F$8))-($C$18/(PI()))*SIN((PI()*D327)/($F$8)))+$B$3*D327)</f>
        <v> </v>
      </c>
      <c r="F327" s="31" t="str">
        <f t="shared" si="37"/>
        <v> </v>
      </c>
      <c r="G327" s="31"/>
      <c r="H327" s="31" t="str">
        <f t="shared" si="34"/>
        <v> </v>
      </c>
      <c r="I327" s="31" t="str">
        <f>IF(H327=" "," ",($I$26-$D$3*$F$13)*((H327/$F$13)-($C$18/(PI()))*SIN((PI()*H327)/$F$13))+$D$3*H327)</f>
        <v> </v>
      </c>
      <c r="J327" s="31" t="str">
        <f t="shared" si="38"/>
        <v> </v>
      </c>
      <c r="K327" s="31" t="str">
        <f t="shared" si="35"/>
        <v> </v>
      </c>
      <c r="L327" s="31" t="str">
        <f>IF(K327=" "," ",($L$26-$D$3*$F$12)*((K327/$F$12)-($C$18/(PI()))*SIN((PI()*K327)/$F$12))+$D$3*K327)</f>
        <v> </v>
      </c>
      <c r="M327" s="31" t="str">
        <f t="shared" si="39"/>
        <v> </v>
      </c>
    </row>
    <row r="328" spans="1:13">
      <c r="A328" s="31" t="str">
        <f t="shared" si="32"/>
        <v> </v>
      </c>
      <c r="B328" s="31" t="str">
        <f>IF(A328=" "," ",($B$26-$B$3*($F$9))*((A328/($F$9))-($C$18/(PI()))*SIN((PI()*A328)/($F$9)))+$B$3*A328)</f>
        <v> </v>
      </c>
      <c r="C328" s="31" t="str">
        <f t="shared" si="36"/>
        <v> </v>
      </c>
      <c r="D328" s="31" t="str">
        <f t="shared" si="33"/>
        <v> </v>
      </c>
      <c r="E328" s="31" t="str">
        <f>IF(D328=" "," ",($E$26-$B$3*($F$8))*((D328/($F$8))-($C$18/(PI()))*SIN((PI()*D328)/($F$8)))+$B$3*D328)</f>
        <v> </v>
      </c>
      <c r="F328" s="31" t="str">
        <f t="shared" si="37"/>
        <v> </v>
      </c>
      <c r="G328" s="31"/>
      <c r="H328" s="31" t="str">
        <f t="shared" si="34"/>
        <v> </v>
      </c>
      <c r="I328" s="31" t="str">
        <f>IF(H328=" "," ",($I$26-$D$3*$F$13)*((H328/$F$13)-($C$18/(PI()))*SIN((PI()*H328)/$F$13))+$D$3*H328)</f>
        <v> </v>
      </c>
      <c r="J328" s="31" t="str">
        <f t="shared" si="38"/>
        <v> </v>
      </c>
      <c r="K328" s="31" t="str">
        <f t="shared" si="35"/>
        <v> </v>
      </c>
      <c r="L328" s="31" t="str">
        <f>IF(K328=" "," ",($L$26-$D$3*$F$12)*((K328/$F$12)-($C$18/(PI()))*SIN((PI()*K328)/$F$12))+$D$3*K328)</f>
        <v> </v>
      </c>
      <c r="M328" s="31" t="str">
        <f t="shared" si="39"/>
        <v> </v>
      </c>
    </row>
    <row r="329" spans="1:13">
      <c r="A329" s="31" t="str">
        <f t="shared" si="32"/>
        <v> </v>
      </c>
      <c r="B329" s="31" t="str">
        <f>IF(A329=" "," ",($B$26-$B$3*($F$9))*((A329/($F$9))-($C$18/(PI()))*SIN((PI()*A329)/($F$9)))+$B$3*A329)</f>
        <v> </v>
      </c>
      <c r="C329" s="31" t="str">
        <f t="shared" si="36"/>
        <v> </v>
      </c>
      <c r="D329" s="31" t="str">
        <f t="shared" si="33"/>
        <v> </v>
      </c>
      <c r="E329" s="31" t="str">
        <f>IF(D329=" "," ",($E$26-$B$3*($F$8))*((D329/($F$8))-($C$18/(PI()))*SIN((PI()*D329)/($F$8)))+$B$3*D329)</f>
        <v> </v>
      </c>
      <c r="F329" s="31" t="str">
        <f t="shared" si="37"/>
        <v> </v>
      </c>
      <c r="G329" s="31"/>
      <c r="H329" s="31" t="str">
        <f t="shared" si="34"/>
        <v> </v>
      </c>
      <c r="I329" s="31" t="str">
        <f>IF(H329=" "," ",($I$26-$D$3*$F$13)*((H329/$F$13)-($C$18/(PI()))*SIN((PI()*H329)/$F$13))+$D$3*H329)</f>
        <v> </v>
      </c>
      <c r="J329" s="31" t="str">
        <f t="shared" si="38"/>
        <v> </v>
      </c>
      <c r="K329" s="31" t="str">
        <f t="shared" si="35"/>
        <v> </v>
      </c>
      <c r="L329" s="31" t="str">
        <f>IF(K329=" "," ",($L$26-$D$3*$F$12)*((K329/$F$12)-($C$18/(PI()))*SIN((PI()*K329)/$F$12))+$D$3*K329)</f>
        <v> </v>
      </c>
      <c r="M329" s="31" t="str">
        <f t="shared" si="39"/>
        <v> </v>
      </c>
    </row>
    <row r="330" spans="1:13">
      <c r="A330" s="31" t="str">
        <f t="shared" si="32"/>
        <v> </v>
      </c>
      <c r="B330" s="31" t="str">
        <f>IF(A330=" "," ",($B$26-$B$3*($F$9))*((A330/($F$9))-($C$18/(PI()))*SIN((PI()*A330)/($F$9)))+$B$3*A330)</f>
        <v> </v>
      </c>
      <c r="C330" s="31" t="str">
        <f t="shared" si="36"/>
        <v> </v>
      </c>
      <c r="D330" s="31" t="str">
        <f t="shared" si="33"/>
        <v> </v>
      </c>
      <c r="E330" s="31" t="str">
        <f>IF(D330=" "," ",($E$26-$B$3*($F$8))*((D330/($F$8))-($C$18/(PI()))*SIN((PI()*D330)/($F$8)))+$B$3*D330)</f>
        <v> </v>
      </c>
      <c r="F330" s="31" t="str">
        <f t="shared" si="37"/>
        <v> </v>
      </c>
      <c r="G330" s="31"/>
      <c r="H330" s="31" t="str">
        <f t="shared" si="34"/>
        <v> </v>
      </c>
      <c r="I330" s="31" t="str">
        <f>IF(H330=" "," ",($I$26-$D$3*$F$13)*((H330/$F$13)-($C$18/(PI()))*SIN((PI()*H330)/$F$13))+$D$3*H330)</f>
        <v> </v>
      </c>
      <c r="J330" s="31" t="str">
        <f t="shared" si="38"/>
        <v> </v>
      </c>
      <c r="K330" s="31" t="str">
        <f t="shared" si="35"/>
        <v> </v>
      </c>
      <c r="L330" s="31" t="str">
        <f>IF(K330=" "," ",($L$26-$D$3*$F$12)*((K330/$F$12)-($C$18/(PI()))*SIN((PI()*K330)/$F$12))+$D$3*K330)</f>
        <v> </v>
      </c>
      <c r="M330" s="31" t="str">
        <f t="shared" si="39"/>
        <v> </v>
      </c>
    </row>
    <row r="331" spans="1:13">
      <c r="A331" s="31" t="str">
        <f t="shared" si="32"/>
        <v> </v>
      </c>
      <c r="B331" s="31" t="str">
        <f>IF(A331=" "," ",($B$26-$B$3*($F$9))*((A331/($F$9))-($C$18/(PI()))*SIN((PI()*A331)/($F$9)))+$B$3*A331)</f>
        <v> </v>
      </c>
      <c r="C331" s="31" t="str">
        <f t="shared" si="36"/>
        <v> </v>
      </c>
      <c r="D331" s="31" t="str">
        <f t="shared" si="33"/>
        <v> </v>
      </c>
      <c r="E331" s="31" t="str">
        <f>IF(D331=" "," ",($E$26-$B$3*($F$8))*((D331/($F$8))-($C$18/(PI()))*SIN((PI()*D331)/($F$8)))+$B$3*D331)</f>
        <v> </v>
      </c>
      <c r="F331" s="31" t="str">
        <f t="shared" si="37"/>
        <v> </v>
      </c>
      <c r="G331" s="31"/>
      <c r="H331" s="31" t="str">
        <f t="shared" si="34"/>
        <v> </v>
      </c>
      <c r="I331" s="31" t="str">
        <f>IF(H331=" "," ",($I$26-$D$3*$F$13)*((H331/$F$13)-($C$18/(PI()))*SIN((PI()*H331)/$F$13))+$D$3*H331)</f>
        <v> </v>
      </c>
      <c r="J331" s="31" t="str">
        <f t="shared" si="38"/>
        <v> </v>
      </c>
      <c r="K331" s="31" t="str">
        <f t="shared" si="35"/>
        <v> </v>
      </c>
      <c r="L331" s="31" t="str">
        <f>IF(K331=" "," ",($L$26-$D$3*$F$12)*((K331/$F$12)-($C$18/(PI()))*SIN((PI()*K331)/$F$12))+$D$3*K331)</f>
        <v> </v>
      </c>
      <c r="M331" s="31" t="str">
        <f t="shared" si="39"/>
        <v> </v>
      </c>
    </row>
    <row r="332" spans="1:13">
      <c r="A332" s="31" t="str">
        <f t="shared" si="32"/>
        <v> </v>
      </c>
      <c r="B332" s="31" t="str">
        <f>IF(A332=" "," ",($B$26-$B$3*($F$9))*((A332/($F$9))-($C$18/(PI()))*SIN((PI()*A332)/($F$9)))+$B$3*A332)</f>
        <v> </v>
      </c>
      <c r="C332" s="31" t="str">
        <f t="shared" si="36"/>
        <v> </v>
      </c>
      <c r="D332" s="31" t="str">
        <f t="shared" si="33"/>
        <v> </v>
      </c>
      <c r="E332" s="31" t="str">
        <f>IF(D332=" "," ",($E$26-$B$3*($F$8))*((D332/($F$8))-($C$18/(PI()))*SIN((PI()*D332)/($F$8)))+$B$3*D332)</f>
        <v> </v>
      </c>
      <c r="F332" s="31" t="str">
        <f t="shared" si="37"/>
        <v> </v>
      </c>
      <c r="G332" s="31"/>
      <c r="H332" s="31" t="str">
        <f t="shared" si="34"/>
        <v> </v>
      </c>
      <c r="I332" s="31" t="str">
        <f>IF(H332=" "," ",($I$26-$D$3*$F$13)*((H332/$F$13)-($C$18/(PI()))*SIN((PI()*H332)/$F$13))+$D$3*H332)</f>
        <v> </v>
      </c>
      <c r="J332" s="31" t="str">
        <f t="shared" si="38"/>
        <v> </v>
      </c>
      <c r="K332" s="31" t="str">
        <f t="shared" si="35"/>
        <v> </v>
      </c>
      <c r="L332" s="31" t="str">
        <f>IF(K332=" "," ",($L$26-$D$3*$F$12)*((K332/$F$12)-($C$18/(PI()))*SIN((PI()*K332)/$F$12))+$D$3*K332)</f>
        <v> </v>
      </c>
      <c r="M332" s="31" t="str">
        <f t="shared" si="39"/>
        <v> </v>
      </c>
    </row>
    <row r="333" spans="1:13">
      <c r="A333" s="31" t="str">
        <f t="shared" si="32"/>
        <v> </v>
      </c>
      <c r="B333" s="31" t="str">
        <f>IF(A333=" "," ",($B$26-$B$3*($F$9))*((A333/($F$9))-($C$18/(PI()))*SIN((PI()*A333)/($F$9)))+$B$3*A333)</f>
        <v> </v>
      </c>
      <c r="C333" s="31" t="str">
        <f t="shared" si="36"/>
        <v> </v>
      </c>
      <c r="D333" s="31" t="str">
        <f t="shared" si="33"/>
        <v> </v>
      </c>
      <c r="E333" s="31" t="str">
        <f>IF(D333=" "," ",($E$26-$B$3*($F$8))*((D333/($F$8))-($C$18/(PI()))*SIN((PI()*D333)/($F$8)))+$B$3*D333)</f>
        <v> </v>
      </c>
      <c r="F333" s="31" t="str">
        <f t="shared" si="37"/>
        <v> </v>
      </c>
      <c r="G333" s="31"/>
      <c r="H333" s="31" t="str">
        <f t="shared" si="34"/>
        <v> </v>
      </c>
      <c r="I333" s="31" t="str">
        <f>IF(H333=" "," ",($I$26-$D$3*$F$13)*((H333/$F$13)-($C$18/(PI()))*SIN((PI()*H333)/$F$13))+$D$3*H333)</f>
        <v> </v>
      </c>
      <c r="J333" s="31" t="str">
        <f t="shared" si="38"/>
        <v> </v>
      </c>
      <c r="K333" s="31" t="str">
        <f t="shared" si="35"/>
        <v> </v>
      </c>
      <c r="L333" s="31" t="str">
        <f>IF(K333=" "," ",($L$26-$D$3*$F$12)*((K333/$F$12)-($C$18/(PI()))*SIN((PI()*K333)/$F$12))+$D$3*K333)</f>
        <v> </v>
      </c>
      <c r="M333" s="31" t="str">
        <f t="shared" si="39"/>
        <v> </v>
      </c>
    </row>
    <row r="334" spans="1:13">
      <c r="A334" s="31" t="str">
        <f t="shared" si="32"/>
        <v> </v>
      </c>
      <c r="B334" s="31" t="str">
        <f>IF(A334=" "," ",($B$26-$B$3*($F$9))*((A334/($F$9))-($C$18/(PI()))*SIN((PI()*A334)/($F$9)))+$B$3*A334)</f>
        <v> </v>
      </c>
      <c r="C334" s="31" t="str">
        <f t="shared" si="36"/>
        <v> </v>
      </c>
      <c r="D334" s="31" t="str">
        <f t="shared" si="33"/>
        <v> </v>
      </c>
      <c r="E334" s="31" t="str">
        <f>IF(D334=" "," ",($E$26-$B$3*($F$8))*((D334/($F$8))-($C$18/(PI()))*SIN((PI()*D334)/($F$8)))+$B$3*D334)</f>
        <v> </v>
      </c>
      <c r="F334" s="31" t="str">
        <f t="shared" si="37"/>
        <v> </v>
      </c>
      <c r="G334" s="31"/>
      <c r="H334" s="31" t="str">
        <f t="shared" si="34"/>
        <v> </v>
      </c>
      <c r="I334" s="31" t="str">
        <f>IF(H334=" "," ",($I$26-$D$3*$F$13)*((H334/$F$13)-($C$18/(PI()))*SIN((PI()*H334)/$F$13))+$D$3*H334)</f>
        <v> </v>
      </c>
      <c r="J334" s="31" t="str">
        <f t="shared" si="38"/>
        <v> </v>
      </c>
      <c r="K334" s="31" t="str">
        <f t="shared" si="35"/>
        <v> </v>
      </c>
      <c r="L334" s="31" t="str">
        <f>IF(K334=" "," ",($L$26-$D$3*$F$12)*((K334/$F$12)-($C$18/(PI()))*SIN((PI()*K334)/$F$12))+$D$3*K334)</f>
        <v> </v>
      </c>
      <c r="M334" s="31" t="str">
        <f t="shared" si="39"/>
        <v> </v>
      </c>
    </row>
    <row r="335" spans="1:13">
      <c r="A335" s="31" t="str">
        <f t="shared" si="32"/>
        <v> </v>
      </c>
      <c r="B335" s="31" t="str">
        <f>IF(A335=" "," ",($B$26-$B$3*($F$9))*((A335/($F$9))-($C$18/(PI()))*SIN((PI()*A335)/($F$9)))+$B$3*A335)</f>
        <v> </v>
      </c>
      <c r="C335" s="31" t="str">
        <f t="shared" si="36"/>
        <v> </v>
      </c>
      <c r="D335" s="31" t="str">
        <f t="shared" si="33"/>
        <v> </v>
      </c>
      <c r="E335" s="31" t="str">
        <f>IF(D335=" "," ",($E$26-$B$3*($F$8))*((D335/($F$8))-($C$18/(PI()))*SIN((PI()*D335)/($F$8)))+$B$3*D335)</f>
        <v> </v>
      </c>
      <c r="F335" s="31" t="str">
        <f t="shared" si="37"/>
        <v> </v>
      </c>
      <c r="G335" s="31"/>
      <c r="H335" s="31" t="str">
        <f t="shared" si="34"/>
        <v> </v>
      </c>
      <c r="I335" s="31" t="str">
        <f>IF(H335=" "," ",($I$26-$D$3*$F$13)*((H335/$F$13)-($C$18/(PI()))*SIN((PI()*H335)/$F$13))+$D$3*H335)</f>
        <v> </v>
      </c>
      <c r="J335" s="31" t="str">
        <f t="shared" si="38"/>
        <v> </v>
      </c>
      <c r="K335" s="31" t="str">
        <f t="shared" si="35"/>
        <v> </v>
      </c>
      <c r="L335" s="31" t="str">
        <f>IF(K335=" "," ",($L$26-$D$3*$F$12)*((K335/$F$12)-($C$18/(PI()))*SIN((PI()*K335)/$F$12))+$D$3*K335)</f>
        <v> </v>
      </c>
      <c r="M335" s="31" t="str">
        <f t="shared" si="39"/>
        <v> </v>
      </c>
    </row>
    <row r="336" spans="1:13">
      <c r="A336" s="31" t="str">
        <f t="shared" si="32"/>
        <v> </v>
      </c>
      <c r="B336" s="31" t="str">
        <f>IF(A336=" "," ",($B$26-$B$3*($F$9))*((A336/($F$9))-($C$18/(PI()))*SIN((PI()*A336)/($F$9)))+$B$3*A336)</f>
        <v> </v>
      </c>
      <c r="C336" s="31" t="str">
        <f t="shared" si="36"/>
        <v> </v>
      </c>
      <c r="D336" s="31" t="str">
        <f t="shared" si="33"/>
        <v> </v>
      </c>
      <c r="E336" s="31" t="str">
        <f>IF(D336=" "," ",($E$26-$B$3*($F$8))*((D336/($F$8))-($C$18/(PI()))*SIN((PI()*D336)/($F$8)))+$B$3*D336)</f>
        <v> </v>
      </c>
      <c r="F336" s="31" t="str">
        <f t="shared" si="37"/>
        <v> </v>
      </c>
      <c r="G336" s="31"/>
      <c r="H336" s="31" t="str">
        <f t="shared" si="34"/>
        <v> </v>
      </c>
      <c r="I336" s="31" t="str">
        <f>IF(H336=" "," ",($I$26-$D$3*$F$13)*((H336/$F$13)-($C$18/(PI()))*SIN((PI()*H336)/$F$13))+$D$3*H336)</f>
        <v> </v>
      </c>
      <c r="J336" s="31" t="str">
        <f t="shared" si="38"/>
        <v> </v>
      </c>
      <c r="K336" s="31" t="str">
        <f t="shared" si="35"/>
        <v> </v>
      </c>
      <c r="L336" s="31" t="str">
        <f>IF(K336=" "," ",($L$26-$D$3*$F$12)*((K336/$F$12)-($C$18/(PI()))*SIN((PI()*K336)/$F$12))+$D$3*K336)</f>
        <v> </v>
      </c>
      <c r="M336" s="31" t="str">
        <f t="shared" si="39"/>
        <v> </v>
      </c>
    </row>
    <row r="337" spans="1:13">
      <c r="A337" s="31" t="str">
        <f t="shared" si="32"/>
        <v> </v>
      </c>
      <c r="B337" s="31" t="str">
        <f>IF(A337=" "," ",($B$26-$B$3*($F$9))*((A337/($F$9))-($C$18/(PI()))*SIN((PI()*A337)/($F$9)))+$B$3*A337)</f>
        <v> </v>
      </c>
      <c r="C337" s="31" t="str">
        <f t="shared" si="36"/>
        <v> </v>
      </c>
      <c r="D337" s="31" t="str">
        <f t="shared" si="33"/>
        <v> </v>
      </c>
      <c r="E337" s="31" t="str">
        <f>IF(D337=" "," ",($E$26-$B$3*($F$8))*((D337/($F$8))-($C$18/(PI()))*SIN((PI()*D337)/($F$8)))+$B$3*D337)</f>
        <v> </v>
      </c>
      <c r="F337" s="31" t="str">
        <f t="shared" si="37"/>
        <v> </v>
      </c>
      <c r="G337" s="31"/>
      <c r="H337" s="31" t="str">
        <f t="shared" si="34"/>
        <v> </v>
      </c>
      <c r="I337" s="31" t="str">
        <f>IF(H337=" "," ",($I$26-$D$3*$F$13)*((H337/$F$13)-($C$18/(PI()))*SIN((PI()*H337)/$F$13))+$D$3*H337)</f>
        <v> </v>
      </c>
      <c r="J337" s="31" t="str">
        <f t="shared" si="38"/>
        <v> </v>
      </c>
      <c r="K337" s="31" t="str">
        <f t="shared" si="35"/>
        <v> </v>
      </c>
      <c r="L337" s="31" t="str">
        <f>IF(K337=" "," ",($L$26-$D$3*$F$12)*((K337/$F$12)-($C$18/(PI()))*SIN((PI()*K337)/$F$12))+$D$3*K337)</f>
        <v> </v>
      </c>
      <c r="M337" s="31" t="str">
        <f t="shared" si="39"/>
        <v> </v>
      </c>
    </row>
    <row r="338" spans="1:13">
      <c r="A338" s="31" t="str">
        <f t="shared" si="32"/>
        <v> </v>
      </c>
      <c r="B338" s="31" t="str">
        <f>IF(A338=" "," ",($B$26-$B$3*($F$9))*((A338/($F$9))-($C$18/(PI()))*SIN((PI()*A338)/($F$9)))+$B$3*A338)</f>
        <v> </v>
      </c>
      <c r="C338" s="31" t="str">
        <f t="shared" si="36"/>
        <v> </v>
      </c>
      <c r="D338" s="31" t="str">
        <f t="shared" si="33"/>
        <v> </v>
      </c>
      <c r="E338" s="31" t="str">
        <f>IF(D338=" "," ",($E$26-$B$3*($F$8))*((D338/($F$8))-($C$18/(PI()))*SIN((PI()*D338)/($F$8)))+$B$3*D338)</f>
        <v> </v>
      </c>
      <c r="F338" s="31" t="str">
        <f t="shared" si="37"/>
        <v> </v>
      </c>
      <c r="G338" s="31"/>
      <c r="H338" s="31" t="str">
        <f t="shared" si="34"/>
        <v> </v>
      </c>
      <c r="I338" s="31" t="str">
        <f>IF(H338=" "," ",($I$26-$D$3*$F$13)*((H338/$F$13)-($C$18/(PI()))*SIN((PI()*H338)/$F$13))+$D$3*H338)</f>
        <v> </v>
      </c>
      <c r="J338" s="31" t="str">
        <f t="shared" si="38"/>
        <v> </v>
      </c>
      <c r="K338" s="31" t="str">
        <f t="shared" si="35"/>
        <v> </v>
      </c>
      <c r="L338" s="31" t="str">
        <f>IF(K338=" "," ",($L$26-$D$3*$F$12)*((K338/$F$12)-($C$18/(PI()))*SIN((PI()*K338)/$F$12))+$D$3*K338)</f>
        <v> </v>
      </c>
      <c r="M338" s="31" t="str">
        <f t="shared" si="39"/>
        <v> </v>
      </c>
    </row>
    <row r="339" spans="1:13">
      <c r="A339" s="31" t="str">
        <f t="shared" si="32"/>
        <v> </v>
      </c>
      <c r="B339" s="31" t="str">
        <f>IF(A339=" "," ",($B$26-$B$3*($F$9))*((A339/($F$9))-($C$18/(PI()))*SIN((PI()*A339)/($F$9)))+$B$3*A339)</f>
        <v> </v>
      </c>
      <c r="C339" s="31" t="str">
        <f t="shared" si="36"/>
        <v> </v>
      </c>
      <c r="D339" s="31" t="str">
        <f t="shared" si="33"/>
        <v> </v>
      </c>
      <c r="E339" s="31" t="str">
        <f>IF(D339=" "," ",($E$26-$B$3*($F$8))*((D339/($F$8))-($C$18/(PI()))*SIN((PI()*D339)/($F$8)))+$B$3*D339)</f>
        <v> </v>
      </c>
      <c r="F339" s="31" t="str">
        <f t="shared" si="37"/>
        <v> </v>
      </c>
      <c r="G339" s="31"/>
      <c r="H339" s="31" t="str">
        <f t="shared" si="34"/>
        <v> </v>
      </c>
      <c r="I339" s="31" t="str">
        <f>IF(H339=" "," ",($I$26-$D$3*$F$13)*((H339/$F$13)-($C$18/(PI()))*SIN((PI()*H339)/$F$13))+$D$3*H339)</f>
        <v> </v>
      </c>
      <c r="J339" s="31" t="str">
        <f t="shared" si="38"/>
        <v> </v>
      </c>
      <c r="K339" s="31" t="str">
        <f t="shared" si="35"/>
        <v> </v>
      </c>
      <c r="L339" s="31" t="str">
        <f>IF(K339=" "," ",($L$26-$D$3*$F$12)*((K339/$F$12)-($C$18/(PI()))*SIN((PI()*K339)/$F$12))+$D$3*K339)</f>
        <v> </v>
      </c>
      <c r="M339" s="31" t="str">
        <f t="shared" si="39"/>
        <v> </v>
      </c>
    </row>
    <row r="340" spans="1:13">
      <c r="A340" s="31" t="str">
        <f t="shared" si="32"/>
        <v> </v>
      </c>
      <c r="B340" s="31" t="str">
        <f>IF(A340=" "," ",($B$26-$B$3*($F$9))*((A340/($F$9))-($C$18/(PI()))*SIN((PI()*A340)/($F$9)))+$B$3*A340)</f>
        <v> </v>
      </c>
      <c r="C340" s="31" t="str">
        <f t="shared" si="36"/>
        <v> </v>
      </c>
      <c r="D340" s="31" t="str">
        <f t="shared" si="33"/>
        <v> </v>
      </c>
      <c r="E340" s="31" t="str">
        <f>IF(D340=" "," ",($E$26-$B$3*($F$8))*((D340/($F$8))-($C$18/(PI()))*SIN((PI()*D340)/($F$8)))+$B$3*D340)</f>
        <v> </v>
      </c>
      <c r="F340" s="31" t="str">
        <f t="shared" si="37"/>
        <v> </v>
      </c>
      <c r="G340" s="31"/>
      <c r="H340" s="31" t="str">
        <f t="shared" si="34"/>
        <v> </v>
      </c>
      <c r="I340" s="31" t="str">
        <f>IF(H340=" "," ",($I$26-$D$3*$F$13)*((H340/$F$13)-($C$18/(PI()))*SIN((PI()*H340)/$F$13))+$D$3*H340)</f>
        <v> </v>
      </c>
      <c r="J340" s="31" t="str">
        <f t="shared" si="38"/>
        <v> </v>
      </c>
      <c r="K340" s="31" t="str">
        <f t="shared" si="35"/>
        <v> </v>
      </c>
      <c r="L340" s="31" t="str">
        <f>IF(K340=" "," ",($L$26-$D$3*$F$12)*((K340/$F$12)-($C$18/(PI()))*SIN((PI()*K340)/$F$12))+$D$3*K340)</f>
        <v> </v>
      </c>
      <c r="M340" s="31" t="str">
        <f t="shared" si="39"/>
        <v> </v>
      </c>
    </row>
    <row r="341" spans="1:13">
      <c r="A341" s="31" t="str">
        <f t="shared" si="32"/>
        <v> </v>
      </c>
      <c r="B341" s="31" t="str">
        <f>IF(A341=" "," ",($B$26-$B$3*($F$9))*((A341/($F$9))-($C$18/(PI()))*SIN((PI()*A341)/($F$9)))+$B$3*A341)</f>
        <v> </v>
      </c>
      <c r="C341" s="31" t="str">
        <f t="shared" si="36"/>
        <v> </v>
      </c>
      <c r="D341" s="31" t="str">
        <f t="shared" si="33"/>
        <v> </v>
      </c>
      <c r="E341" s="31" t="str">
        <f>IF(D341=" "," ",($E$26-$B$3*($F$8))*((D341/($F$8))-($C$18/(PI()))*SIN((PI()*D341)/($F$8)))+$B$3*D341)</f>
        <v> </v>
      </c>
      <c r="F341" s="31" t="str">
        <f t="shared" si="37"/>
        <v> </v>
      </c>
      <c r="G341" s="31"/>
      <c r="H341" s="31" t="str">
        <f t="shared" si="34"/>
        <v> </v>
      </c>
      <c r="I341" s="31" t="str">
        <f>IF(H341=" "," ",($I$26-$D$3*$F$13)*((H341/$F$13)-($C$18/(PI()))*SIN((PI()*H341)/$F$13))+$D$3*H341)</f>
        <v> </v>
      </c>
      <c r="J341" s="31" t="str">
        <f t="shared" si="38"/>
        <v> </v>
      </c>
      <c r="K341" s="31" t="str">
        <f t="shared" si="35"/>
        <v> </v>
      </c>
      <c r="L341" s="31" t="str">
        <f>IF(K341=" "," ",($L$26-$D$3*$F$12)*((K341/$F$12)-($C$18/(PI()))*SIN((PI()*K341)/$F$12))+$D$3*K341)</f>
        <v> </v>
      </c>
      <c r="M341" s="31" t="str">
        <f t="shared" si="39"/>
        <v> </v>
      </c>
    </row>
    <row r="342" spans="1:13">
      <c r="A342" s="31" t="str">
        <f t="shared" si="32"/>
        <v> </v>
      </c>
      <c r="B342" s="31" t="str">
        <f>IF(A342=" "," ",($B$26-$B$3*($F$9))*((A342/($F$9))-($C$18/(PI()))*SIN((PI()*A342)/($F$9)))+$B$3*A342)</f>
        <v> </v>
      </c>
      <c r="C342" s="31" t="str">
        <f t="shared" si="36"/>
        <v> </v>
      </c>
      <c r="D342" s="31" t="str">
        <f t="shared" si="33"/>
        <v> </v>
      </c>
      <c r="E342" s="31" t="str">
        <f>IF(D342=" "," ",($E$26-$B$3*($F$8))*((D342/($F$8))-($C$18/(PI()))*SIN((PI()*D342)/($F$8)))+$B$3*D342)</f>
        <v> </v>
      </c>
      <c r="F342" s="31" t="str">
        <f t="shared" si="37"/>
        <v> </v>
      </c>
      <c r="G342" s="31"/>
      <c r="H342" s="31" t="str">
        <f t="shared" si="34"/>
        <v> </v>
      </c>
      <c r="I342" s="31" t="str">
        <f>IF(H342=" "," ",($I$26-$D$3*$F$13)*((H342/$F$13)-($C$18/(PI()))*SIN((PI()*H342)/$F$13))+$D$3*H342)</f>
        <v> </v>
      </c>
      <c r="J342" s="31" t="str">
        <f t="shared" si="38"/>
        <v> </v>
      </c>
      <c r="K342" s="31" t="str">
        <f t="shared" si="35"/>
        <v> </v>
      </c>
      <c r="L342" s="31" t="str">
        <f>IF(K342=" "," ",($L$26-$D$3*$F$12)*((K342/$F$12)-($C$18/(PI()))*SIN((PI()*K342)/$F$12))+$D$3*K342)</f>
        <v> </v>
      </c>
      <c r="M342" s="31" t="str">
        <f t="shared" si="39"/>
        <v> </v>
      </c>
    </row>
    <row r="343" spans="1:13">
      <c r="A343" s="31" t="str">
        <f t="shared" si="32"/>
        <v> </v>
      </c>
      <c r="B343" s="31" t="str">
        <f>IF(A343=" "," ",($B$26-$B$3*($F$9))*((A343/($F$9))-($C$18/(PI()))*SIN((PI()*A343)/($F$9)))+$B$3*A343)</f>
        <v> </v>
      </c>
      <c r="C343" s="31" t="str">
        <f t="shared" si="36"/>
        <v> </v>
      </c>
      <c r="D343" s="31" t="str">
        <f t="shared" si="33"/>
        <v> </v>
      </c>
      <c r="E343" s="31" t="str">
        <f>IF(D343=" "," ",($E$26-$B$3*($F$8))*((D343/($F$8))-($C$18/(PI()))*SIN((PI()*D343)/($F$8)))+$B$3*D343)</f>
        <v> </v>
      </c>
      <c r="F343" s="31" t="str">
        <f t="shared" si="37"/>
        <v> </v>
      </c>
      <c r="G343" s="31"/>
      <c r="H343" s="31" t="str">
        <f t="shared" si="34"/>
        <v> </v>
      </c>
      <c r="I343" s="31" t="str">
        <f>IF(H343=" "," ",($I$26-$D$3*$F$13)*((H343/$F$13)-($C$18/(PI()))*SIN((PI()*H343)/$F$13))+$D$3*H343)</f>
        <v> </v>
      </c>
      <c r="J343" s="31" t="str">
        <f t="shared" si="38"/>
        <v> </v>
      </c>
      <c r="K343" s="31" t="str">
        <f t="shared" si="35"/>
        <v> </v>
      </c>
      <c r="L343" s="31" t="str">
        <f>IF(K343=" "," ",($L$26-$D$3*$F$12)*((K343/$F$12)-($C$18/(PI()))*SIN((PI()*K343)/$F$12))+$D$3*K343)</f>
        <v> </v>
      </c>
      <c r="M343" s="31" t="str">
        <f t="shared" si="39"/>
        <v> </v>
      </c>
    </row>
    <row r="344" spans="1:13">
      <c r="A344" s="31" t="str">
        <f t="shared" si="32"/>
        <v> </v>
      </c>
      <c r="B344" s="31" t="str">
        <f>IF(A344=" "," ",($B$26-$B$3*($F$9))*((A344/($F$9))-($C$18/(PI()))*SIN((PI()*A344)/($F$9)))+$B$3*A344)</f>
        <v> </v>
      </c>
      <c r="C344" s="31" t="str">
        <f t="shared" si="36"/>
        <v> </v>
      </c>
      <c r="D344" s="31" t="str">
        <f t="shared" si="33"/>
        <v> </v>
      </c>
      <c r="E344" s="31" t="str">
        <f>IF(D344=" "," ",($E$26-$B$3*($F$8))*((D344/($F$8))-($C$18/(PI()))*SIN((PI()*D344)/($F$8)))+$B$3*D344)</f>
        <v> </v>
      </c>
      <c r="F344" s="31" t="str">
        <f t="shared" si="37"/>
        <v> </v>
      </c>
      <c r="G344" s="31"/>
      <c r="H344" s="31" t="str">
        <f t="shared" si="34"/>
        <v> </v>
      </c>
      <c r="I344" s="31" t="str">
        <f>IF(H344=" "," ",($I$26-$D$3*$F$13)*((H344/$F$13)-($C$18/(PI()))*SIN((PI()*H344)/$F$13))+$D$3*H344)</f>
        <v> </v>
      </c>
      <c r="J344" s="31" t="str">
        <f t="shared" si="38"/>
        <v> </v>
      </c>
      <c r="K344" s="31" t="str">
        <f t="shared" si="35"/>
        <v> </v>
      </c>
      <c r="L344" s="31" t="str">
        <f>IF(K344=" "," ",($L$26-$D$3*$F$12)*((K344/$F$12)-($C$18/(PI()))*SIN((PI()*K344)/$F$12))+$D$3*K344)</f>
        <v> </v>
      </c>
      <c r="M344" s="31" t="str">
        <f t="shared" si="39"/>
        <v> </v>
      </c>
    </row>
    <row r="345" spans="1:13">
      <c r="A345" s="31" t="str">
        <f t="shared" si="32"/>
        <v> </v>
      </c>
      <c r="B345" s="31" t="str">
        <f>IF(A345=" "," ",($B$26-$B$3*($F$9))*((A345/($F$9))-($C$18/(PI()))*SIN((PI()*A345)/($F$9)))+$B$3*A345)</f>
        <v> </v>
      </c>
      <c r="C345" s="31" t="str">
        <f t="shared" si="36"/>
        <v> </v>
      </c>
      <c r="D345" s="31" t="str">
        <f t="shared" si="33"/>
        <v> </v>
      </c>
      <c r="E345" s="31" t="str">
        <f>IF(D345=" "," ",($E$26-$B$3*($F$8))*((D345/($F$8))-($C$18/(PI()))*SIN((PI()*D345)/($F$8)))+$B$3*D345)</f>
        <v> </v>
      </c>
      <c r="F345" s="31" t="str">
        <f t="shared" si="37"/>
        <v> </v>
      </c>
      <c r="G345" s="31"/>
      <c r="H345" s="31" t="str">
        <f t="shared" si="34"/>
        <v> </v>
      </c>
      <c r="I345" s="31" t="str">
        <f>IF(H345=" "," ",($I$26-$D$3*$F$13)*((H345/$F$13)-($C$18/(PI()))*SIN((PI()*H345)/$F$13))+$D$3*H345)</f>
        <v> </v>
      </c>
      <c r="J345" s="31" t="str">
        <f t="shared" si="38"/>
        <v> </v>
      </c>
      <c r="K345" s="31" t="str">
        <f t="shared" si="35"/>
        <v> </v>
      </c>
      <c r="L345" s="31" t="str">
        <f>IF(K345=" "," ",($L$26-$D$3*$F$12)*((K345/$F$12)-($C$18/(PI()))*SIN((PI()*K345)/$F$12))+$D$3*K345)</f>
        <v> </v>
      </c>
      <c r="M345" s="31" t="str">
        <f t="shared" si="39"/>
        <v> </v>
      </c>
    </row>
    <row r="346" spans="1:13">
      <c r="A346" s="31" t="str">
        <f t="shared" si="32"/>
        <v> </v>
      </c>
      <c r="B346" s="31" t="str">
        <f>IF(A346=" "," ",($B$26-$B$3*($F$9))*((A346/($F$9))-($C$18/(PI()))*SIN((PI()*A346)/($F$9)))+$B$3*A346)</f>
        <v> </v>
      </c>
      <c r="C346" s="31" t="str">
        <f t="shared" si="36"/>
        <v> </v>
      </c>
      <c r="D346" s="31" t="str">
        <f t="shared" si="33"/>
        <v> </v>
      </c>
      <c r="E346" s="31" t="str">
        <f>IF(D346=" "," ",($E$26-$B$3*($F$8))*((D346/($F$8))-($C$18/(PI()))*SIN((PI()*D346)/($F$8)))+$B$3*D346)</f>
        <v> </v>
      </c>
      <c r="F346" s="31" t="str">
        <f t="shared" si="37"/>
        <v> </v>
      </c>
      <c r="G346" s="31"/>
      <c r="H346" s="31" t="str">
        <f t="shared" si="34"/>
        <v> </v>
      </c>
      <c r="I346" s="31" t="str">
        <f>IF(H346=" "," ",($I$26-$D$3*$F$13)*((H346/$F$13)-($C$18/(PI()))*SIN((PI()*H346)/$F$13))+$D$3*H346)</f>
        <v> </v>
      </c>
      <c r="J346" s="31" t="str">
        <f t="shared" si="38"/>
        <v> </v>
      </c>
      <c r="K346" s="31" t="str">
        <f t="shared" si="35"/>
        <v> </v>
      </c>
      <c r="L346" s="31" t="str">
        <f>IF(K346=" "," ",($L$26-$D$3*$F$12)*((K346/$F$12)-($C$18/(PI()))*SIN((PI()*K346)/$F$12))+$D$3*K346)</f>
        <v> </v>
      </c>
      <c r="M346" s="31" t="str">
        <f t="shared" si="39"/>
        <v> </v>
      </c>
    </row>
    <row r="347" spans="1:13">
      <c r="A347" s="31" t="str">
        <f t="shared" si="32"/>
        <v> </v>
      </c>
      <c r="B347" s="31" t="str">
        <f>IF(A347=" "," ",($B$26-$B$3*($F$9))*((A347/($F$9))-($C$18/(PI()))*SIN((PI()*A347)/($F$9)))+$B$3*A347)</f>
        <v> </v>
      </c>
      <c r="C347" s="31" t="str">
        <f t="shared" si="36"/>
        <v> </v>
      </c>
      <c r="D347" s="31" t="str">
        <f t="shared" si="33"/>
        <v> </v>
      </c>
      <c r="E347" s="31" t="str">
        <f>IF(D347=" "," ",($E$26-$B$3*($F$8))*((D347/($F$8))-($C$18/(PI()))*SIN((PI()*D347)/($F$8)))+$B$3*D347)</f>
        <v> </v>
      </c>
      <c r="F347" s="31" t="str">
        <f t="shared" si="37"/>
        <v> </v>
      </c>
      <c r="G347" s="31"/>
      <c r="H347" s="31" t="str">
        <f t="shared" si="34"/>
        <v> </v>
      </c>
      <c r="I347" s="31" t="str">
        <f>IF(H347=" "," ",($I$26-$D$3*$F$13)*((H347/$F$13)-($C$18/(PI()))*SIN((PI()*H347)/$F$13))+$D$3*H347)</f>
        <v> </v>
      </c>
      <c r="J347" s="31" t="str">
        <f t="shared" si="38"/>
        <v> </v>
      </c>
      <c r="K347" s="31" t="str">
        <f t="shared" si="35"/>
        <v> </v>
      </c>
      <c r="L347" s="31" t="str">
        <f>IF(K347=" "," ",($L$26-$D$3*$F$12)*((K347/$F$12)-($C$18/(PI()))*SIN((PI()*K347)/$F$12))+$D$3*K347)</f>
        <v> </v>
      </c>
      <c r="M347" s="31" t="str">
        <f t="shared" si="39"/>
        <v> </v>
      </c>
    </row>
    <row r="348" spans="1:13">
      <c r="A348" s="31" t="str">
        <f t="shared" si="32"/>
        <v> </v>
      </c>
      <c r="B348" s="31" t="str">
        <f>IF(A348=" "," ",($B$26-$B$3*($F$9))*((A348/($F$9))-($C$18/(PI()))*SIN((PI()*A348)/($F$9)))+$B$3*A348)</f>
        <v> </v>
      </c>
      <c r="C348" s="31" t="str">
        <f t="shared" si="36"/>
        <v> </v>
      </c>
      <c r="D348" s="31" t="str">
        <f t="shared" si="33"/>
        <v> </v>
      </c>
      <c r="E348" s="31" t="str">
        <f>IF(D348=" "," ",($E$26-$B$3*($F$8))*((D348/($F$8))-($C$18/(PI()))*SIN((PI()*D348)/($F$8)))+$B$3*D348)</f>
        <v> </v>
      </c>
      <c r="F348" s="31" t="str">
        <f t="shared" si="37"/>
        <v> </v>
      </c>
      <c r="G348" s="31"/>
      <c r="H348" s="31" t="str">
        <f t="shared" si="34"/>
        <v> </v>
      </c>
      <c r="I348" s="31" t="str">
        <f>IF(H348=" "," ",($I$26-$D$3*$F$13)*((H348/$F$13)-($C$18/(PI()))*SIN((PI()*H348)/$F$13))+$D$3*H348)</f>
        <v> </v>
      </c>
      <c r="J348" s="31" t="str">
        <f t="shared" si="38"/>
        <v> </v>
      </c>
      <c r="K348" s="31" t="str">
        <f t="shared" si="35"/>
        <v> </v>
      </c>
      <c r="L348" s="31" t="str">
        <f>IF(K348=" "," ",($L$26-$D$3*$F$12)*((K348/$F$12)-($C$18/(PI()))*SIN((PI()*K348)/$F$12))+$D$3*K348)</f>
        <v> </v>
      </c>
      <c r="M348" s="31" t="str">
        <f t="shared" si="39"/>
        <v> </v>
      </c>
    </row>
    <row r="349" spans="1:13">
      <c r="A349" s="31" t="str">
        <f t="shared" ref="A349:A412" si="40">IF(($F$9)-ROW(A321)&gt;=0,($F$9)-(($F$9)-ROW(A321))," ")</f>
        <v> </v>
      </c>
      <c r="B349" s="31" t="str">
        <f>IF(A349=" "," ",($B$26-$B$3*($F$9))*((A349/($F$9))-($C$18/(PI()))*SIN((PI()*A349)/($F$9)))+$B$3*A349)</f>
        <v> </v>
      </c>
      <c r="C349" s="31" t="str">
        <f t="shared" si="36"/>
        <v> </v>
      </c>
      <c r="D349" s="31" t="str">
        <f t="shared" ref="D349:D412" si="41">IF(($F$8)-ROW(D321)&gt;=0,($F$8)-(($F$8)-ROW(D321))," ")</f>
        <v> </v>
      </c>
      <c r="E349" s="31" t="str">
        <f>IF(D349=" "," ",($E$26-$B$3*($F$8))*((D349/($F$8))-($C$18/(PI()))*SIN((PI()*D349)/($F$8)))+$B$3*D349)</f>
        <v> </v>
      </c>
      <c r="F349" s="31" t="str">
        <f t="shared" si="37"/>
        <v> </v>
      </c>
      <c r="G349" s="31"/>
      <c r="H349" s="31" t="str">
        <f t="shared" ref="H349:H412" si="42">IF($F$13-ROW(H321)&gt;=0,$F$13-($F$13-ROW(H321))," ")</f>
        <v> </v>
      </c>
      <c r="I349" s="31" t="str">
        <f>IF(H349=" "," ",($I$26-$D$3*$F$13)*((H349/$F$13)-($C$18/(PI()))*SIN((PI()*H349)/$F$13))+$D$3*H349)</f>
        <v> </v>
      </c>
      <c r="J349" s="31" t="str">
        <f t="shared" si="38"/>
        <v> </v>
      </c>
      <c r="K349" s="31" t="str">
        <f t="shared" ref="K349:K412" si="43">IF($F$12-ROW(K321)&gt;=0,$F$12-($F$12-ROW(K321))," ")</f>
        <v> </v>
      </c>
      <c r="L349" s="31" t="str">
        <f>IF(K349=" "," ",($L$26-$D$3*$F$12)*((K349/$F$12)-($C$18/(PI()))*SIN((PI()*K349)/$F$12))+$D$3*K349)</f>
        <v> </v>
      </c>
      <c r="M349" s="31" t="str">
        <f t="shared" si="39"/>
        <v> </v>
      </c>
    </row>
    <row r="350" spans="1:13">
      <c r="A350" s="31" t="str">
        <f t="shared" si="40"/>
        <v> </v>
      </c>
      <c r="B350" s="31" t="str">
        <f>IF(A350=" "," ",($B$26-$B$3*($F$9))*((A350/($F$9))-($C$18/(PI()))*SIN((PI()*A350)/($F$9)))+$B$3*A350)</f>
        <v> </v>
      </c>
      <c r="C350" s="31" t="str">
        <f t="shared" ref="C350:C413" si="44">IF(A350=" "," ",(B350-B349)/(B349-B348))</f>
        <v> </v>
      </c>
      <c r="D350" s="31" t="str">
        <f t="shared" si="41"/>
        <v> </v>
      </c>
      <c r="E350" s="31" t="str">
        <f>IF(D350=" "," ",($E$26-$B$3*($F$8))*((D350/($F$8))-($C$18/(PI()))*SIN((PI()*D350)/($F$8)))+$B$3*D350)</f>
        <v> </v>
      </c>
      <c r="F350" s="31" t="str">
        <f t="shared" ref="F350:F413" si="45">IF(D350=" "," ",(E350-E349)/(E349-E348))</f>
        <v> </v>
      </c>
      <c r="G350" s="31"/>
      <c r="H350" s="31" t="str">
        <f t="shared" si="42"/>
        <v> </v>
      </c>
      <c r="I350" s="31" t="str">
        <f>IF(H350=" "," ",($I$26-$D$3*$F$13)*((H350/$F$13)-($C$18/(PI()))*SIN((PI()*H350)/$F$13))+$D$3*H350)</f>
        <v> </v>
      </c>
      <c r="J350" s="31" t="str">
        <f t="shared" ref="J350:J413" si="46">IF(H350=" "," ",(I350-I349)/(I349-I348))</f>
        <v> </v>
      </c>
      <c r="K350" s="31" t="str">
        <f t="shared" si="43"/>
        <v> </v>
      </c>
      <c r="L350" s="31" t="str">
        <f>IF(K350=" "," ",($L$26-$D$3*$F$12)*((K350/$F$12)-($C$18/(PI()))*SIN((PI()*K350)/$F$12))+$D$3*K350)</f>
        <v> </v>
      </c>
      <c r="M350" s="31" t="str">
        <f t="shared" ref="M350:M413" si="47">IF(K350=" "," ",(L350-L349)/(L349-L348))</f>
        <v> </v>
      </c>
    </row>
    <row r="351" spans="1:13">
      <c r="A351" s="31" t="str">
        <f t="shared" si="40"/>
        <v> </v>
      </c>
      <c r="B351" s="31" t="str">
        <f>IF(A351=" "," ",($B$26-$B$3*($F$9))*((A351/($F$9))-($C$18/(PI()))*SIN((PI()*A351)/($F$9)))+$B$3*A351)</f>
        <v> </v>
      </c>
      <c r="C351" s="31" t="str">
        <f t="shared" si="44"/>
        <v> </v>
      </c>
      <c r="D351" s="31" t="str">
        <f t="shared" si="41"/>
        <v> </v>
      </c>
      <c r="E351" s="31" t="str">
        <f>IF(D351=" "," ",($E$26-$B$3*($F$8))*((D351/($F$8))-($C$18/(PI()))*SIN((PI()*D351)/($F$8)))+$B$3*D351)</f>
        <v> </v>
      </c>
      <c r="F351" s="31" t="str">
        <f t="shared" si="45"/>
        <v> </v>
      </c>
      <c r="G351" s="31"/>
      <c r="H351" s="31" t="str">
        <f t="shared" si="42"/>
        <v> </v>
      </c>
      <c r="I351" s="31" t="str">
        <f>IF(H351=" "," ",($I$26-$D$3*$F$13)*((H351/$F$13)-($C$18/(PI()))*SIN((PI()*H351)/$F$13))+$D$3*H351)</f>
        <v> </v>
      </c>
      <c r="J351" s="31" t="str">
        <f t="shared" si="46"/>
        <v> </v>
      </c>
      <c r="K351" s="31" t="str">
        <f t="shared" si="43"/>
        <v> </v>
      </c>
      <c r="L351" s="31" t="str">
        <f>IF(K351=" "," ",($L$26-$D$3*$F$12)*((K351/$F$12)-($C$18/(PI()))*SIN((PI()*K351)/$F$12))+$D$3*K351)</f>
        <v> </v>
      </c>
      <c r="M351" s="31" t="str">
        <f t="shared" si="47"/>
        <v> </v>
      </c>
    </row>
    <row r="352" spans="1:13">
      <c r="A352" s="31" t="str">
        <f t="shared" si="40"/>
        <v> </v>
      </c>
      <c r="B352" s="31" t="str">
        <f>IF(A352=" "," ",($B$26-$B$3*($F$9))*((A352/($F$9))-($C$18/(PI()))*SIN((PI()*A352)/($F$9)))+$B$3*A352)</f>
        <v> </v>
      </c>
      <c r="C352" s="31" t="str">
        <f t="shared" si="44"/>
        <v> </v>
      </c>
      <c r="D352" s="31" t="str">
        <f t="shared" si="41"/>
        <v> </v>
      </c>
      <c r="E352" s="31" t="str">
        <f>IF(D352=" "," ",($E$26-$B$3*($F$8))*((D352/($F$8))-($C$18/(PI()))*SIN((PI()*D352)/($F$8)))+$B$3*D352)</f>
        <v> </v>
      </c>
      <c r="F352" s="31" t="str">
        <f t="shared" si="45"/>
        <v> </v>
      </c>
      <c r="G352" s="31"/>
      <c r="H352" s="31" t="str">
        <f t="shared" si="42"/>
        <v> </v>
      </c>
      <c r="I352" s="31" t="str">
        <f>IF(H352=" "," ",($I$26-$D$3*$F$13)*((H352/$F$13)-($C$18/(PI()))*SIN((PI()*H352)/$F$13))+$D$3*H352)</f>
        <v> </v>
      </c>
      <c r="J352" s="31" t="str">
        <f t="shared" si="46"/>
        <v> </v>
      </c>
      <c r="K352" s="31" t="str">
        <f t="shared" si="43"/>
        <v> </v>
      </c>
      <c r="L352" s="31" t="str">
        <f>IF(K352=" "," ",($L$26-$D$3*$F$12)*((K352/$F$12)-($C$18/(PI()))*SIN((PI()*K352)/$F$12))+$D$3*K352)</f>
        <v> </v>
      </c>
      <c r="M352" s="31" t="str">
        <f t="shared" si="47"/>
        <v> </v>
      </c>
    </row>
    <row r="353" spans="1:13">
      <c r="A353" s="31" t="str">
        <f t="shared" si="40"/>
        <v> </v>
      </c>
      <c r="B353" s="31" t="str">
        <f>IF(A353=" "," ",($B$26-$B$3*($F$9))*((A353/($F$9))-($C$18/(PI()))*SIN((PI()*A353)/($F$9)))+$B$3*A353)</f>
        <v> </v>
      </c>
      <c r="C353" s="31" t="str">
        <f t="shared" si="44"/>
        <v> </v>
      </c>
      <c r="D353" s="31" t="str">
        <f t="shared" si="41"/>
        <v> </v>
      </c>
      <c r="E353" s="31" t="str">
        <f>IF(D353=" "," ",($E$26-$B$3*($F$8))*((D353/($F$8))-($C$18/(PI()))*SIN((PI()*D353)/($F$8)))+$B$3*D353)</f>
        <v> </v>
      </c>
      <c r="F353" s="31" t="str">
        <f t="shared" si="45"/>
        <v> </v>
      </c>
      <c r="G353" s="31"/>
      <c r="H353" s="31" t="str">
        <f t="shared" si="42"/>
        <v> </v>
      </c>
      <c r="I353" s="31" t="str">
        <f>IF(H353=" "," ",($I$26-$D$3*$F$13)*((H353/$F$13)-($C$18/(PI()))*SIN((PI()*H353)/$F$13))+$D$3*H353)</f>
        <v> </v>
      </c>
      <c r="J353" s="31" t="str">
        <f t="shared" si="46"/>
        <v> </v>
      </c>
      <c r="K353" s="31" t="str">
        <f t="shared" si="43"/>
        <v> </v>
      </c>
      <c r="L353" s="31" t="str">
        <f>IF(K353=" "," ",($L$26-$D$3*$F$12)*((K353/$F$12)-($C$18/(PI()))*SIN((PI()*K353)/$F$12))+$D$3*K353)</f>
        <v> </v>
      </c>
      <c r="M353" s="31" t="str">
        <f t="shared" si="47"/>
        <v> </v>
      </c>
    </row>
    <row r="354" spans="1:13">
      <c r="A354" s="31" t="str">
        <f t="shared" si="40"/>
        <v> </v>
      </c>
      <c r="B354" s="31" t="str">
        <f>IF(A354=" "," ",($B$26-$B$3*($F$9))*((A354/($F$9))-($C$18/(PI()))*SIN((PI()*A354)/($F$9)))+$B$3*A354)</f>
        <v> </v>
      </c>
      <c r="C354" s="31" t="str">
        <f t="shared" si="44"/>
        <v> </v>
      </c>
      <c r="D354" s="31" t="str">
        <f t="shared" si="41"/>
        <v> </v>
      </c>
      <c r="E354" s="31" t="str">
        <f>IF(D354=" "," ",($E$26-$B$3*($F$8))*((D354/($F$8))-($C$18/(PI()))*SIN((PI()*D354)/($F$8)))+$B$3*D354)</f>
        <v> </v>
      </c>
      <c r="F354" s="31" t="str">
        <f t="shared" si="45"/>
        <v> </v>
      </c>
      <c r="G354" s="31"/>
      <c r="H354" s="31" t="str">
        <f t="shared" si="42"/>
        <v> </v>
      </c>
      <c r="I354" s="31" t="str">
        <f>IF(H354=" "," ",($I$26-$D$3*$F$13)*((H354/$F$13)-($C$18/(PI()))*SIN((PI()*H354)/$F$13))+$D$3*H354)</f>
        <v> </v>
      </c>
      <c r="J354" s="31" t="str">
        <f t="shared" si="46"/>
        <v> </v>
      </c>
      <c r="K354" s="31" t="str">
        <f t="shared" si="43"/>
        <v> </v>
      </c>
      <c r="L354" s="31" t="str">
        <f>IF(K354=" "," ",($L$26-$D$3*$F$12)*((K354/$F$12)-($C$18/(PI()))*SIN((PI()*K354)/$F$12))+$D$3*K354)</f>
        <v> </v>
      </c>
      <c r="M354" s="31" t="str">
        <f t="shared" si="47"/>
        <v> </v>
      </c>
    </row>
    <row r="355" spans="1:13">
      <c r="A355" s="31" t="str">
        <f t="shared" si="40"/>
        <v> </v>
      </c>
      <c r="B355" s="31" t="str">
        <f>IF(A355=" "," ",($B$26-$B$3*($F$9))*((A355/($F$9))-($C$18/(PI()))*SIN((PI()*A355)/($F$9)))+$B$3*A355)</f>
        <v> </v>
      </c>
      <c r="C355" s="31" t="str">
        <f t="shared" si="44"/>
        <v> </v>
      </c>
      <c r="D355" s="31" t="str">
        <f t="shared" si="41"/>
        <v> </v>
      </c>
      <c r="E355" s="31" t="str">
        <f>IF(D355=" "," ",($E$26-$B$3*($F$8))*((D355/($F$8))-($C$18/(PI()))*SIN((PI()*D355)/($F$8)))+$B$3*D355)</f>
        <v> </v>
      </c>
      <c r="F355" s="31" t="str">
        <f t="shared" si="45"/>
        <v> </v>
      </c>
      <c r="G355" s="31"/>
      <c r="H355" s="31" t="str">
        <f t="shared" si="42"/>
        <v> </v>
      </c>
      <c r="I355" s="31" t="str">
        <f>IF(H355=" "," ",($I$26-$D$3*$F$13)*((H355/$F$13)-($C$18/(PI()))*SIN((PI()*H355)/$F$13))+$D$3*H355)</f>
        <v> </v>
      </c>
      <c r="J355" s="31" t="str">
        <f t="shared" si="46"/>
        <v> </v>
      </c>
      <c r="K355" s="31" t="str">
        <f t="shared" si="43"/>
        <v> </v>
      </c>
      <c r="L355" s="31" t="str">
        <f>IF(K355=" "," ",($L$26-$D$3*$F$12)*((K355/$F$12)-($C$18/(PI()))*SIN((PI()*K355)/$F$12))+$D$3*K355)</f>
        <v> </v>
      </c>
      <c r="M355" s="31" t="str">
        <f t="shared" si="47"/>
        <v> </v>
      </c>
    </row>
    <row r="356" spans="1:13">
      <c r="A356" s="31" t="str">
        <f t="shared" si="40"/>
        <v> </v>
      </c>
      <c r="B356" s="31" t="str">
        <f>IF(A356=" "," ",($B$26-$B$3*($F$9))*((A356/($F$9))-($C$18/(PI()))*SIN((PI()*A356)/($F$9)))+$B$3*A356)</f>
        <v> </v>
      </c>
      <c r="C356" s="31" t="str">
        <f t="shared" si="44"/>
        <v> </v>
      </c>
      <c r="D356" s="31" t="str">
        <f t="shared" si="41"/>
        <v> </v>
      </c>
      <c r="E356" s="31" t="str">
        <f>IF(D356=" "," ",($E$26-$B$3*($F$8))*((D356/($F$8))-($C$18/(PI()))*SIN((PI()*D356)/($F$8)))+$B$3*D356)</f>
        <v> </v>
      </c>
      <c r="F356" s="31" t="str">
        <f t="shared" si="45"/>
        <v> </v>
      </c>
      <c r="G356" s="31"/>
      <c r="H356" s="31" t="str">
        <f t="shared" si="42"/>
        <v> </v>
      </c>
      <c r="I356" s="31" t="str">
        <f>IF(H356=" "," ",($I$26-$D$3*$F$13)*((H356/$F$13)-($C$18/(PI()))*SIN((PI()*H356)/$F$13))+$D$3*H356)</f>
        <v> </v>
      </c>
      <c r="J356" s="31" t="str">
        <f t="shared" si="46"/>
        <v> </v>
      </c>
      <c r="K356" s="31" t="str">
        <f t="shared" si="43"/>
        <v> </v>
      </c>
      <c r="L356" s="31" t="str">
        <f>IF(K356=" "," ",($L$26-$D$3*$F$12)*((K356/$F$12)-($C$18/(PI()))*SIN((PI()*K356)/$F$12))+$D$3*K356)</f>
        <v> </v>
      </c>
      <c r="M356" s="31" t="str">
        <f t="shared" si="47"/>
        <v> </v>
      </c>
    </row>
    <row r="357" spans="1:13">
      <c r="A357" s="31" t="str">
        <f t="shared" si="40"/>
        <v> </v>
      </c>
      <c r="B357" s="31" t="str">
        <f>IF(A357=" "," ",($B$26-$B$3*($F$9))*((A357/($F$9))-($C$18/(PI()))*SIN((PI()*A357)/($F$9)))+$B$3*A357)</f>
        <v> </v>
      </c>
      <c r="C357" s="31" t="str">
        <f t="shared" si="44"/>
        <v> </v>
      </c>
      <c r="D357" s="31" t="str">
        <f t="shared" si="41"/>
        <v> </v>
      </c>
      <c r="E357" s="31" t="str">
        <f>IF(D357=" "," ",($E$26-$B$3*($F$8))*((D357/($F$8))-($C$18/(PI()))*SIN((PI()*D357)/($F$8)))+$B$3*D357)</f>
        <v> </v>
      </c>
      <c r="F357" s="31" t="str">
        <f t="shared" si="45"/>
        <v> </v>
      </c>
      <c r="G357" s="31"/>
      <c r="H357" s="31" t="str">
        <f t="shared" si="42"/>
        <v> </v>
      </c>
      <c r="I357" s="31" t="str">
        <f>IF(H357=" "," ",($I$26-$D$3*$F$13)*((H357/$F$13)-($C$18/(PI()))*SIN((PI()*H357)/$F$13))+$D$3*H357)</f>
        <v> </v>
      </c>
      <c r="J357" s="31" t="str">
        <f t="shared" si="46"/>
        <v> </v>
      </c>
      <c r="K357" s="31" t="str">
        <f t="shared" si="43"/>
        <v> </v>
      </c>
      <c r="L357" s="31" t="str">
        <f>IF(K357=" "," ",($L$26-$D$3*$F$12)*((K357/$F$12)-($C$18/(PI()))*SIN((PI()*K357)/$F$12))+$D$3*K357)</f>
        <v> </v>
      </c>
      <c r="M357" s="31" t="str">
        <f t="shared" si="47"/>
        <v> </v>
      </c>
    </row>
    <row r="358" spans="1:13">
      <c r="A358" s="31" t="str">
        <f t="shared" si="40"/>
        <v> </v>
      </c>
      <c r="B358" s="31" t="str">
        <f>IF(A358=" "," ",($B$26-$B$3*($F$9))*((A358/($F$9))-($C$18/(PI()))*SIN((PI()*A358)/($F$9)))+$B$3*A358)</f>
        <v> </v>
      </c>
      <c r="C358" s="31" t="str">
        <f t="shared" si="44"/>
        <v> </v>
      </c>
      <c r="D358" s="31" t="str">
        <f t="shared" si="41"/>
        <v> </v>
      </c>
      <c r="E358" s="31" t="str">
        <f>IF(D358=" "," ",($E$26-$B$3*($F$8))*((D358/($F$8))-($C$18/(PI()))*SIN((PI()*D358)/($F$8)))+$B$3*D358)</f>
        <v> </v>
      </c>
      <c r="F358" s="31" t="str">
        <f t="shared" si="45"/>
        <v> </v>
      </c>
      <c r="G358" s="31"/>
      <c r="H358" s="31" t="str">
        <f t="shared" si="42"/>
        <v> </v>
      </c>
      <c r="I358" s="31" t="str">
        <f>IF(H358=" "," ",($I$26-$D$3*$F$13)*((H358/$F$13)-($C$18/(PI()))*SIN((PI()*H358)/$F$13))+$D$3*H358)</f>
        <v> </v>
      </c>
      <c r="J358" s="31" t="str">
        <f t="shared" si="46"/>
        <v> </v>
      </c>
      <c r="K358" s="31" t="str">
        <f t="shared" si="43"/>
        <v> </v>
      </c>
      <c r="L358" s="31" t="str">
        <f>IF(K358=" "," ",($L$26-$D$3*$F$12)*((K358/$F$12)-($C$18/(PI()))*SIN((PI()*K358)/$F$12))+$D$3*K358)</f>
        <v> </v>
      </c>
      <c r="M358" s="31" t="str">
        <f t="shared" si="47"/>
        <v> </v>
      </c>
    </row>
    <row r="359" spans="1:13">
      <c r="A359" s="31" t="str">
        <f t="shared" si="40"/>
        <v> </v>
      </c>
      <c r="B359" s="31" t="str">
        <f>IF(A359=" "," ",($B$26-$B$3*($F$9))*((A359/($F$9))-($C$18/(PI()))*SIN((PI()*A359)/($F$9)))+$B$3*A359)</f>
        <v> </v>
      </c>
      <c r="C359" s="31" t="str">
        <f t="shared" si="44"/>
        <v> </v>
      </c>
      <c r="D359" s="31" t="str">
        <f t="shared" si="41"/>
        <v> </v>
      </c>
      <c r="E359" s="31" t="str">
        <f>IF(D359=" "," ",($E$26-$B$3*($F$8))*((D359/($F$8))-($C$18/(PI()))*SIN((PI()*D359)/($F$8)))+$B$3*D359)</f>
        <v> </v>
      </c>
      <c r="F359" s="31" t="str">
        <f t="shared" si="45"/>
        <v> </v>
      </c>
      <c r="G359" s="31"/>
      <c r="H359" s="31" t="str">
        <f t="shared" si="42"/>
        <v> </v>
      </c>
      <c r="I359" s="31" t="str">
        <f>IF(H359=" "," ",($I$26-$D$3*$F$13)*((H359/$F$13)-($C$18/(PI()))*SIN((PI()*H359)/$F$13))+$D$3*H359)</f>
        <v> </v>
      </c>
      <c r="J359" s="31" t="str">
        <f t="shared" si="46"/>
        <v> </v>
      </c>
      <c r="K359" s="31" t="str">
        <f t="shared" si="43"/>
        <v> </v>
      </c>
      <c r="L359" s="31" t="str">
        <f>IF(K359=" "," ",($L$26-$D$3*$F$12)*((K359/$F$12)-($C$18/(PI()))*SIN((PI()*K359)/$F$12))+$D$3*K359)</f>
        <v> </v>
      </c>
      <c r="M359" s="31" t="str">
        <f t="shared" si="47"/>
        <v> </v>
      </c>
    </row>
    <row r="360" spans="1:13">
      <c r="A360" s="31" t="str">
        <f t="shared" si="40"/>
        <v> </v>
      </c>
      <c r="B360" s="31" t="str">
        <f>IF(A360=" "," ",($B$26-$B$3*($F$9))*((A360/($F$9))-($C$18/(PI()))*SIN((PI()*A360)/($F$9)))+$B$3*A360)</f>
        <v> </v>
      </c>
      <c r="C360" s="31" t="str">
        <f t="shared" si="44"/>
        <v> </v>
      </c>
      <c r="D360" s="31" t="str">
        <f t="shared" si="41"/>
        <v> </v>
      </c>
      <c r="E360" s="31" t="str">
        <f>IF(D360=" "," ",($E$26-$B$3*($F$8))*((D360/($F$8))-($C$18/(PI()))*SIN((PI()*D360)/($F$8)))+$B$3*D360)</f>
        <v> </v>
      </c>
      <c r="F360" s="31" t="str">
        <f t="shared" si="45"/>
        <v> </v>
      </c>
      <c r="G360" s="31"/>
      <c r="H360" s="31" t="str">
        <f t="shared" si="42"/>
        <v> </v>
      </c>
      <c r="I360" s="31" t="str">
        <f>IF(H360=" "," ",($I$26-$D$3*$F$13)*((H360/$F$13)-($C$18/(PI()))*SIN((PI()*H360)/$F$13))+$D$3*H360)</f>
        <v> </v>
      </c>
      <c r="J360" s="31" t="str">
        <f t="shared" si="46"/>
        <v> </v>
      </c>
      <c r="K360" s="31" t="str">
        <f t="shared" si="43"/>
        <v> </v>
      </c>
      <c r="L360" s="31" t="str">
        <f>IF(K360=" "," ",($L$26-$D$3*$F$12)*((K360/$F$12)-($C$18/(PI()))*SIN((PI()*K360)/$F$12))+$D$3*K360)</f>
        <v> </v>
      </c>
      <c r="M360" s="31" t="str">
        <f t="shared" si="47"/>
        <v> </v>
      </c>
    </row>
    <row r="361" spans="1:13">
      <c r="A361" s="31" t="str">
        <f t="shared" si="40"/>
        <v> </v>
      </c>
      <c r="B361" s="31" t="str">
        <f>IF(A361=" "," ",($B$26-$B$3*($F$9))*((A361/($F$9))-($C$18/(PI()))*SIN((PI()*A361)/($F$9)))+$B$3*A361)</f>
        <v> </v>
      </c>
      <c r="C361" s="31" t="str">
        <f t="shared" si="44"/>
        <v> </v>
      </c>
      <c r="D361" s="31" t="str">
        <f t="shared" si="41"/>
        <v> </v>
      </c>
      <c r="E361" s="31" t="str">
        <f>IF(D361=" "," ",($E$26-$B$3*($F$8))*((D361/($F$8))-($C$18/(PI()))*SIN((PI()*D361)/($F$8)))+$B$3*D361)</f>
        <v> </v>
      </c>
      <c r="F361" s="31" t="str">
        <f t="shared" si="45"/>
        <v> </v>
      </c>
      <c r="G361" s="31"/>
      <c r="H361" s="31" t="str">
        <f t="shared" si="42"/>
        <v> </v>
      </c>
      <c r="I361" s="31" t="str">
        <f>IF(H361=" "," ",($I$26-$D$3*$F$13)*((H361/$F$13)-($C$18/(PI()))*SIN((PI()*H361)/$F$13))+$D$3*H361)</f>
        <v> </v>
      </c>
      <c r="J361" s="31" t="str">
        <f t="shared" si="46"/>
        <v> </v>
      </c>
      <c r="K361" s="31" t="str">
        <f t="shared" si="43"/>
        <v> </v>
      </c>
      <c r="L361" s="31" t="str">
        <f>IF(K361=" "," ",($L$26-$D$3*$F$12)*((K361/$F$12)-($C$18/(PI()))*SIN((PI()*K361)/$F$12))+$D$3*K361)</f>
        <v> </v>
      </c>
      <c r="M361" s="31" t="str">
        <f t="shared" si="47"/>
        <v> </v>
      </c>
    </row>
    <row r="362" spans="1:13">
      <c r="A362" s="31" t="str">
        <f t="shared" si="40"/>
        <v> </v>
      </c>
      <c r="B362" s="31" t="str">
        <f>IF(A362=" "," ",($B$26-$B$3*($F$9))*((A362/($F$9))-($C$18/(PI()))*SIN((PI()*A362)/($F$9)))+$B$3*A362)</f>
        <v> </v>
      </c>
      <c r="C362" s="31" t="str">
        <f t="shared" si="44"/>
        <v> </v>
      </c>
      <c r="D362" s="31" t="str">
        <f t="shared" si="41"/>
        <v> </v>
      </c>
      <c r="E362" s="31" t="str">
        <f>IF(D362=" "," ",($E$26-$B$3*($F$8))*((D362/($F$8))-($C$18/(PI()))*SIN((PI()*D362)/($F$8)))+$B$3*D362)</f>
        <v> </v>
      </c>
      <c r="F362" s="31" t="str">
        <f t="shared" si="45"/>
        <v> </v>
      </c>
      <c r="G362" s="31"/>
      <c r="H362" s="31" t="str">
        <f t="shared" si="42"/>
        <v> </v>
      </c>
      <c r="I362" s="31" t="str">
        <f>IF(H362=" "," ",($I$26-$D$3*$F$13)*((H362/$F$13)-($C$18/(PI()))*SIN((PI()*H362)/$F$13))+$D$3*H362)</f>
        <v> </v>
      </c>
      <c r="J362" s="31" t="str">
        <f t="shared" si="46"/>
        <v> </v>
      </c>
      <c r="K362" s="31" t="str">
        <f t="shared" si="43"/>
        <v> </v>
      </c>
      <c r="L362" s="31" t="str">
        <f>IF(K362=" "," ",($L$26-$D$3*$F$12)*((K362/$F$12)-($C$18/(PI()))*SIN((PI()*K362)/$F$12))+$D$3*K362)</f>
        <v> </v>
      </c>
      <c r="M362" s="31" t="str">
        <f t="shared" si="47"/>
        <v> </v>
      </c>
    </row>
    <row r="363" spans="1:13">
      <c r="A363" s="31" t="str">
        <f t="shared" si="40"/>
        <v> </v>
      </c>
      <c r="B363" s="31" t="str">
        <f>IF(A363=" "," ",($B$26-$B$3*($F$9))*((A363/($F$9))-($C$18/(PI()))*SIN((PI()*A363)/($F$9)))+$B$3*A363)</f>
        <v> </v>
      </c>
      <c r="C363" s="31" t="str">
        <f t="shared" si="44"/>
        <v> </v>
      </c>
      <c r="D363" s="31" t="str">
        <f t="shared" si="41"/>
        <v> </v>
      </c>
      <c r="E363" s="31" t="str">
        <f>IF(D363=" "," ",($E$26-$B$3*($F$8))*((D363/($F$8))-($C$18/(PI()))*SIN((PI()*D363)/($F$8)))+$B$3*D363)</f>
        <v> </v>
      </c>
      <c r="F363" s="31" t="str">
        <f t="shared" si="45"/>
        <v> </v>
      </c>
      <c r="G363" s="31"/>
      <c r="H363" s="31" t="str">
        <f t="shared" si="42"/>
        <v> </v>
      </c>
      <c r="I363" s="31" t="str">
        <f>IF(H363=" "," ",($I$26-$D$3*$F$13)*((H363/$F$13)-($C$18/(PI()))*SIN((PI()*H363)/$F$13))+$D$3*H363)</f>
        <v> </v>
      </c>
      <c r="J363" s="31" t="str">
        <f t="shared" si="46"/>
        <v> </v>
      </c>
      <c r="K363" s="31" t="str">
        <f t="shared" si="43"/>
        <v> </v>
      </c>
      <c r="L363" s="31" t="str">
        <f>IF(K363=" "," ",($L$26-$D$3*$F$12)*((K363/$F$12)-($C$18/(PI()))*SIN((PI()*K363)/$F$12))+$D$3*K363)</f>
        <v> </v>
      </c>
      <c r="M363" s="31" t="str">
        <f t="shared" si="47"/>
        <v> </v>
      </c>
    </row>
    <row r="364" spans="1:13">
      <c r="A364" s="31" t="str">
        <f t="shared" si="40"/>
        <v> </v>
      </c>
      <c r="B364" s="31" t="str">
        <f>IF(A364=" "," ",($B$26-$B$3*($F$9))*((A364/($F$9))-($C$18/(PI()))*SIN((PI()*A364)/($F$9)))+$B$3*A364)</f>
        <v> </v>
      </c>
      <c r="C364" s="31" t="str">
        <f t="shared" si="44"/>
        <v> </v>
      </c>
      <c r="D364" s="31" t="str">
        <f t="shared" si="41"/>
        <v> </v>
      </c>
      <c r="E364" s="31" t="str">
        <f>IF(D364=" "," ",($E$26-$B$3*($F$8))*((D364/($F$8))-($C$18/(PI()))*SIN((PI()*D364)/($F$8)))+$B$3*D364)</f>
        <v> </v>
      </c>
      <c r="F364" s="31" t="str">
        <f t="shared" si="45"/>
        <v> </v>
      </c>
      <c r="G364" s="31"/>
      <c r="H364" s="31" t="str">
        <f t="shared" si="42"/>
        <v> </v>
      </c>
      <c r="I364" s="31" t="str">
        <f>IF(H364=" "," ",($I$26-$D$3*$F$13)*((H364/$F$13)-($C$18/(PI()))*SIN((PI()*H364)/$F$13))+$D$3*H364)</f>
        <v> </v>
      </c>
      <c r="J364" s="31" t="str">
        <f t="shared" si="46"/>
        <v> </v>
      </c>
      <c r="K364" s="31" t="str">
        <f t="shared" si="43"/>
        <v> </v>
      </c>
      <c r="L364" s="31" t="str">
        <f>IF(K364=" "," ",($L$26-$D$3*$F$12)*((K364/$F$12)-($C$18/(PI()))*SIN((PI()*K364)/$F$12))+$D$3*K364)</f>
        <v> </v>
      </c>
      <c r="M364" s="31" t="str">
        <f t="shared" si="47"/>
        <v> </v>
      </c>
    </row>
    <row r="365" spans="1:13">
      <c r="A365" s="31" t="str">
        <f t="shared" si="40"/>
        <v> </v>
      </c>
      <c r="B365" s="31" t="str">
        <f>IF(A365=" "," ",($B$26-$B$3*($F$9))*((A365/($F$9))-($C$18/(PI()))*SIN((PI()*A365)/($F$9)))+$B$3*A365)</f>
        <v> </v>
      </c>
      <c r="C365" s="31" t="str">
        <f t="shared" si="44"/>
        <v> </v>
      </c>
      <c r="D365" s="31" t="str">
        <f t="shared" si="41"/>
        <v> </v>
      </c>
      <c r="E365" s="31" t="str">
        <f>IF(D365=" "," ",($E$26-$B$3*($F$8))*((D365/($F$8))-($C$18/(PI()))*SIN((PI()*D365)/($F$8)))+$B$3*D365)</f>
        <v> </v>
      </c>
      <c r="F365" s="31" t="str">
        <f t="shared" si="45"/>
        <v> </v>
      </c>
      <c r="G365" s="31"/>
      <c r="H365" s="31" t="str">
        <f t="shared" si="42"/>
        <v> </v>
      </c>
      <c r="I365" s="31" t="str">
        <f>IF(H365=" "," ",($I$26-$D$3*$F$13)*((H365/$F$13)-($C$18/(PI()))*SIN((PI()*H365)/$F$13))+$D$3*H365)</f>
        <v> </v>
      </c>
      <c r="J365" s="31" t="str">
        <f t="shared" si="46"/>
        <v> </v>
      </c>
      <c r="K365" s="31" t="str">
        <f t="shared" si="43"/>
        <v> </v>
      </c>
      <c r="L365" s="31" t="str">
        <f>IF(K365=" "," ",($L$26-$D$3*$F$12)*((K365/$F$12)-($C$18/(PI()))*SIN((PI()*K365)/$F$12))+$D$3*K365)</f>
        <v> </v>
      </c>
      <c r="M365" s="31" t="str">
        <f t="shared" si="47"/>
        <v> </v>
      </c>
    </row>
    <row r="366" spans="1:13">
      <c r="A366" s="31" t="str">
        <f t="shared" si="40"/>
        <v> </v>
      </c>
      <c r="B366" s="31" t="str">
        <f>IF(A366=" "," ",($B$26-$B$3*($F$9))*((A366/($F$9))-($C$18/(PI()))*SIN((PI()*A366)/($F$9)))+$B$3*A366)</f>
        <v> </v>
      </c>
      <c r="C366" s="31" t="str">
        <f t="shared" si="44"/>
        <v> </v>
      </c>
      <c r="D366" s="31" t="str">
        <f t="shared" si="41"/>
        <v> </v>
      </c>
      <c r="E366" s="31" t="str">
        <f>IF(D366=" "," ",($E$26-$B$3*($F$8))*((D366/($F$8))-($C$18/(PI()))*SIN((PI()*D366)/($F$8)))+$B$3*D366)</f>
        <v> </v>
      </c>
      <c r="F366" s="31" t="str">
        <f t="shared" si="45"/>
        <v> </v>
      </c>
      <c r="G366" s="31"/>
      <c r="H366" s="31" t="str">
        <f t="shared" si="42"/>
        <v> </v>
      </c>
      <c r="I366" s="31" t="str">
        <f>IF(H366=" "," ",($I$26-$D$3*$F$13)*((H366/$F$13)-($C$18/(PI()))*SIN((PI()*H366)/$F$13))+$D$3*H366)</f>
        <v> </v>
      </c>
      <c r="J366" s="31" t="str">
        <f t="shared" si="46"/>
        <v> </v>
      </c>
      <c r="K366" s="31" t="str">
        <f t="shared" si="43"/>
        <v> </v>
      </c>
      <c r="L366" s="31" t="str">
        <f>IF(K366=" "," ",($L$26-$D$3*$F$12)*((K366/$F$12)-($C$18/(PI()))*SIN((PI()*K366)/$F$12))+$D$3*K366)</f>
        <v> </v>
      </c>
      <c r="M366" s="31" t="str">
        <f t="shared" si="47"/>
        <v> </v>
      </c>
    </row>
    <row r="367" spans="1:13">
      <c r="A367" s="31" t="str">
        <f t="shared" si="40"/>
        <v> </v>
      </c>
      <c r="B367" s="31" t="str">
        <f>IF(A367=" "," ",($B$26-$B$3*($F$9))*((A367/($F$9))-($C$18/(PI()))*SIN((PI()*A367)/($F$9)))+$B$3*A367)</f>
        <v> </v>
      </c>
      <c r="C367" s="31" t="str">
        <f t="shared" si="44"/>
        <v> </v>
      </c>
      <c r="D367" s="31" t="str">
        <f t="shared" si="41"/>
        <v> </v>
      </c>
      <c r="E367" s="31" t="str">
        <f>IF(D367=" "," ",($E$26-$B$3*($F$8))*((D367/($F$8))-($C$18/(PI()))*SIN((PI()*D367)/($F$8)))+$B$3*D367)</f>
        <v> </v>
      </c>
      <c r="F367" s="31" t="str">
        <f t="shared" si="45"/>
        <v> </v>
      </c>
      <c r="G367" s="31"/>
      <c r="H367" s="31" t="str">
        <f t="shared" si="42"/>
        <v> </v>
      </c>
      <c r="I367" s="31" t="str">
        <f>IF(H367=" "," ",($I$26-$D$3*$F$13)*((H367/$F$13)-($C$18/(PI()))*SIN((PI()*H367)/$F$13))+$D$3*H367)</f>
        <v> </v>
      </c>
      <c r="J367" s="31" t="str">
        <f t="shared" si="46"/>
        <v> </v>
      </c>
      <c r="K367" s="31" t="str">
        <f t="shared" si="43"/>
        <v> </v>
      </c>
      <c r="L367" s="31" t="str">
        <f>IF(K367=" "," ",($L$26-$D$3*$F$12)*((K367/$F$12)-($C$18/(PI()))*SIN((PI()*K367)/$F$12))+$D$3*K367)</f>
        <v> </v>
      </c>
      <c r="M367" s="31" t="str">
        <f t="shared" si="47"/>
        <v> </v>
      </c>
    </row>
    <row r="368" spans="1:13">
      <c r="A368" s="31" t="str">
        <f t="shared" si="40"/>
        <v> </v>
      </c>
      <c r="B368" s="31" t="str">
        <f>IF(A368=" "," ",($B$26-$B$3*($F$9))*((A368/($F$9))-($C$18/(PI()))*SIN((PI()*A368)/($F$9)))+$B$3*A368)</f>
        <v> </v>
      </c>
      <c r="C368" s="31" t="str">
        <f t="shared" si="44"/>
        <v> </v>
      </c>
      <c r="D368" s="31" t="str">
        <f t="shared" si="41"/>
        <v> </v>
      </c>
      <c r="E368" s="31" t="str">
        <f>IF(D368=" "," ",($E$26-$B$3*($F$8))*((D368/($F$8))-($C$18/(PI()))*SIN((PI()*D368)/($F$8)))+$B$3*D368)</f>
        <v> </v>
      </c>
      <c r="F368" s="31" t="str">
        <f t="shared" si="45"/>
        <v> </v>
      </c>
      <c r="G368" s="31"/>
      <c r="H368" s="31" t="str">
        <f t="shared" si="42"/>
        <v> </v>
      </c>
      <c r="I368" s="31" t="str">
        <f>IF(H368=" "," ",($I$26-$D$3*$F$13)*((H368/$F$13)-($C$18/(PI()))*SIN((PI()*H368)/$F$13))+$D$3*H368)</f>
        <v> </v>
      </c>
      <c r="J368" s="31" t="str">
        <f t="shared" si="46"/>
        <v> </v>
      </c>
      <c r="K368" s="31" t="str">
        <f t="shared" si="43"/>
        <v> </v>
      </c>
      <c r="L368" s="31" t="str">
        <f>IF(K368=" "," ",($L$26-$D$3*$F$12)*((K368/$F$12)-($C$18/(PI()))*SIN((PI()*K368)/$F$12))+$D$3*K368)</f>
        <v> </v>
      </c>
      <c r="M368" s="31" t="str">
        <f t="shared" si="47"/>
        <v> </v>
      </c>
    </row>
    <row r="369" spans="1:13">
      <c r="A369" s="31" t="str">
        <f t="shared" si="40"/>
        <v> </v>
      </c>
      <c r="B369" s="31" t="str">
        <f>IF(A369=" "," ",($B$26-$B$3*($F$9))*((A369/($F$9))-($C$18/(PI()))*SIN((PI()*A369)/($F$9)))+$B$3*A369)</f>
        <v> </v>
      </c>
      <c r="C369" s="31" t="str">
        <f t="shared" si="44"/>
        <v> </v>
      </c>
      <c r="D369" s="31" t="str">
        <f t="shared" si="41"/>
        <v> </v>
      </c>
      <c r="E369" s="31" t="str">
        <f>IF(D369=" "," ",($E$26-$B$3*($F$8))*((D369/($F$8))-($C$18/(PI()))*SIN((PI()*D369)/($F$8)))+$B$3*D369)</f>
        <v> </v>
      </c>
      <c r="F369" s="31" t="str">
        <f t="shared" si="45"/>
        <v> </v>
      </c>
      <c r="G369" s="31"/>
      <c r="H369" s="31" t="str">
        <f t="shared" si="42"/>
        <v> </v>
      </c>
      <c r="I369" s="31" t="str">
        <f>IF(H369=" "," ",($I$26-$D$3*$F$13)*((H369/$F$13)-($C$18/(PI()))*SIN((PI()*H369)/$F$13))+$D$3*H369)</f>
        <v> </v>
      </c>
      <c r="J369" s="31" t="str">
        <f t="shared" si="46"/>
        <v> </v>
      </c>
      <c r="K369" s="31" t="str">
        <f t="shared" si="43"/>
        <v> </v>
      </c>
      <c r="L369" s="31" t="str">
        <f>IF(K369=" "," ",($L$26-$D$3*$F$12)*((K369/$F$12)-($C$18/(PI()))*SIN((PI()*K369)/$F$12))+$D$3*K369)</f>
        <v> </v>
      </c>
      <c r="M369" s="31" t="str">
        <f t="shared" si="47"/>
        <v> </v>
      </c>
    </row>
    <row r="370" spans="1:13">
      <c r="A370" s="31" t="str">
        <f t="shared" si="40"/>
        <v> </v>
      </c>
      <c r="B370" s="31" t="str">
        <f>IF(A370=" "," ",($B$26-$B$3*($F$9))*((A370/($F$9))-($C$18/(PI()))*SIN((PI()*A370)/($F$9)))+$B$3*A370)</f>
        <v> </v>
      </c>
      <c r="C370" s="31" t="str">
        <f t="shared" si="44"/>
        <v> </v>
      </c>
      <c r="D370" s="31" t="str">
        <f t="shared" si="41"/>
        <v> </v>
      </c>
      <c r="E370" s="31" t="str">
        <f>IF(D370=" "," ",($E$26-$B$3*($F$8))*((D370/($F$8))-($C$18/(PI()))*SIN((PI()*D370)/($F$8)))+$B$3*D370)</f>
        <v> </v>
      </c>
      <c r="F370" s="31" t="str">
        <f t="shared" si="45"/>
        <v> </v>
      </c>
      <c r="G370" s="31"/>
      <c r="H370" s="31" t="str">
        <f t="shared" si="42"/>
        <v> </v>
      </c>
      <c r="I370" s="31" t="str">
        <f>IF(H370=" "," ",($I$26-$D$3*$F$13)*((H370/$F$13)-($C$18/(PI()))*SIN((PI()*H370)/$F$13))+$D$3*H370)</f>
        <v> </v>
      </c>
      <c r="J370" s="31" t="str">
        <f t="shared" si="46"/>
        <v> </v>
      </c>
      <c r="K370" s="31" t="str">
        <f t="shared" si="43"/>
        <v> </v>
      </c>
      <c r="L370" s="31" t="str">
        <f>IF(K370=" "," ",($L$26-$D$3*$F$12)*((K370/$F$12)-($C$18/(PI()))*SIN((PI()*K370)/$F$12))+$D$3*K370)</f>
        <v> </v>
      </c>
      <c r="M370" s="31" t="str">
        <f t="shared" si="47"/>
        <v> </v>
      </c>
    </row>
    <row r="371" spans="1:13">
      <c r="A371" s="31" t="str">
        <f t="shared" si="40"/>
        <v> </v>
      </c>
      <c r="B371" s="31" t="str">
        <f>IF(A371=" "," ",($B$26-$B$3*($F$9))*((A371/($F$9))-($C$18/(PI()))*SIN((PI()*A371)/($F$9)))+$B$3*A371)</f>
        <v> </v>
      </c>
      <c r="C371" s="31" t="str">
        <f t="shared" si="44"/>
        <v> </v>
      </c>
      <c r="D371" s="31" t="str">
        <f t="shared" si="41"/>
        <v> </v>
      </c>
      <c r="E371" s="31" t="str">
        <f>IF(D371=" "," ",($E$26-$B$3*($F$8))*((D371/($F$8))-($C$18/(PI()))*SIN((PI()*D371)/($F$8)))+$B$3*D371)</f>
        <v> </v>
      </c>
      <c r="F371" s="31" t="str">
        <f t="shared" si="45"/>
        <v> </v>
      </c>
      <c r="G371" s="31"/>
      <c r="H371" s="31" t="str">
        <f t="shared" si="42"/>
        <v> </v>
      </c>
      <c r="I371" s="31" t="str">
        <f>IF(H371=" "," ",($I$26-$D$3*$F$13)*((H371/$F$13)-($C$18/(PI()))*SIN((PI()*H371)/$F$13))+$D$3*H371)</f>
        <v> </v>
      </c>
      <c r="J371" s="31" t="str">
        <f t="shared" si="46"/>
        <v> </v>
      </c>
      <c r="K371" s="31" t="str">
        <f t="shared" si="43"/>
        <v> </v>
      </c>
      <c r="L371" s="31" t="str">
        <f>IF(K371=" "," ",($L$26-$D$3*$F$12)*((K371/$F$12)-($C$18/(PI()))*SIN((PI()*K371)/$F$12))+$D$3*K371)</f>
        <v> </v>
      </c>
      <c r="M371" s="31" t="str">
        <f t="shared" si="47"/>
        <v> </v>
      </c>
    </row>
    <row r="372" spans="1:13">
      <c r="A372" s="31" t="str">
        <f t="shared" si="40"/>
        <v> </v>
      </c>
      <c r="B372" s="31" t="str">
        <f>IF(A372=" "," ",($B$26-$B$3*($F$9))*((A372/($F$9))-($C$18/(PI()))*SIN((PI()*A372)/($F$9)))+$B$3*A372)</f>
        <v> </v>
      </c>
      <c r="C372" s="31" t="str">
        <f t="shared" si="44"/>
        <v> </v>
      </c>
      <c r="D372" s="31" t="str">
        <f t="shared" si="41"/>
        <v> </v>
      </c>
      <c r="E372" s="31" t="str">
        <f>IF(D372=" "," ",($E$26-$B$3*($F$8))*((D372/($F$8))-($C$18/(PI()))*SIN((PI()*D372)/($F$8)))+$B$3*D372)</f>
        <v> </v>
      </c>
      <c r="F372" s="31" t="str">
        <f t="shared" si="45"/>
        <v> </v>
      </c>
      <c r="G372" s="31"/>
      <c r="H372" s="31" t="str">
        <f t="shared" si="42"/>
        <v> </v>
      </c>
      <c r="I372" s="31" t="str">
        <f>IF(H372=" "," ",($I$26-$D$3*$F$13)*((H372/$F$13)-($C$18/(PI()))*SIN((PI()*H372)/$F$13))+$D$3*H372)</f>
        <v> </v>
      </c>
      <c r="J372" s="31" t="str">
        <f t="shared" si="46"/>
        <v> </v>
      </c>
      <c r="K372" s="31" t="str">
        <f t="shared" si="43"/>
        <v> </v>
      </c>
      <c r="L372" s="31" t="str">
        <f>IF(K372=" "," ",($L$26-$D$3*$F$12)*((K372/$F$12)-($C$18/(PI()))*SIN((PI()*K372)/$F$12))+$D$3*K372)</f>
        <v> </v>
      </c>
      <c r="M372" s="31" t="str">
        <f t="shared" si="47"/>
        <v> </v>
      </c>
    </row>
    <row r="373" spans="1:13">
      <c r="A373" s="31" t="str">
        <f t="shared" si="40"/>
        <v> </v>
      </c>
      <c r="B373" s="31" t="str">
        <f>IF(A373=" "," ",($B$26-$B$3*($F$9))*((A373/($F$9))-($C$18/(PI()))*SIN((PI()*A373)/($F$9)))+$B$3*A373)</f>
        <v> </v>
      </c>
      <c r="C373" s="31" t="str">
        <f t="shared" si="44"/>
        <v> </v>
      </c>
      <c r="D373" s="31" t="str">
        <f t="shared" si="41"/>
        <v> </v>
      </c>
      <c r="E373" s="31" t="str">
        <f>IF(D373=" "," ",($E$26-$B$3*($F$8))*((D373/($F$8))-($C$18/(PI()))*SIN((PI()*D373)/($F$8)))+$B$3*D373)</f>
        <v> </v>
      </c>
      <c r="F373" s="31" t="str">
        <f t="shared" si="45"/>
        <v> </v>
      </c>
      <c r="G373" s="31"/>
      <c r="H373" s="31" t="str">
        <f t="shared" si="42"/>
        <v> </v>
      </c>
      <c r="I373" s="31" t="str">
        <f>IF(H373=" "," ",($I$26-$D$3*$F$13)*((H373/$F$13)-($C$18/(PI()))*SIN((PI()*H373)/$F$13))+$D$3*H373)</f>
        <v> </v>
      </c>
      <c r="J373" s="31" t="str">
        <f t="shared" si="46"/>
        <v> </v>
      </c>
      <c r="K373" s="31" t="str">
        <f t="shared" si="43"/>
        <v> </v>
      </c>
      <c r="L373" s="31" t="str">
        <f>IF(K373=" "," ",($L$26-$D$3*$F$12)*((K373/$F$12)-($C$18/(PI()))*SIN((PI()*K373)/$F$12))+$D$3*K373)</f>
        <v> </v>
      </c>
      <c r="M373" s="31" t="str">
        <f t="shared" si="47"/>
        <v> </v>
      </c>
    </row>
    <row r="374" spans="1:13">
      <c r="A374" s="31" t="str">
        <f t="shared" si="40"/>
        <v> </v>
      </c>
      <c r="B374" s="31" t="str">
        <f>IF(A374=" "," ",($B$26-$B$3*($F$9))*((A374/($F$9))-($C$18/(PI()))*SIN((PI()*A374)/($F$9)))+$B$3*A374)</f>
        <v> </v>
      </c>
      <c r="C374" s="31" t="str">
        <f t="shared" si="44"/>
        <v> </v>
      </c>
      <c r="D374" s="31" t="str">
        <f t="shared" si="41"/>
        <v> </v>
      </c>
      <c r="E374" s="31" t="str">
        <f>IF(D374=" "," ",($E$26-$B$3*($F$8))*((D374/($F$8))-($C$18/(PI()))*SIN((PI()*D374)/($F$8)))+$B$3*D374)</f>
        <v> </v>
      </c>
      <c r="F374" s="31" t="str">
        <f t="shared" si="45"/>
        <v> </v>
      </c>
      <c r="G374" s="31"/>
      <c r="H374" s="31" t="str">
        <f t="shared" si="42"/>
        <v> </v>
      </c>
      <c r="I374" s="31" t="str">
        <f>IF(H374=" "," ",($I$26-$D$3*$F$13)*((H374/$F$13)-($C$18/(PI()))*SIN((PI()*H374)/$F$13))+$D$3*H374)</f>
        <v> </v>
      </c>
      <c r="J374" s="31" t="str">
        <f t="shared" si="46"/>
        <v> </v>
      </c>
      <c r="K374" s="31" t="str">
        <f t="shared" si="43"/>
        <v> </v>
      </c>
      <c r="L374" s="31" t="str">
        <f>IF(K374=" "," ",($L$26-$D$3*$F$12)*((K374/$F$12)-($C$18/(PI()))*SIN((PI()*K374)/$F$12))+$D$3*K374)</f>
        <v> </v>
      </c>
      <c r="M374" s="31" t="str">
        <f t="shared" si="47"/>
        <v> </v>
      </c>
    </row>
    <row r="375" spans="1:13">
      <c r="A375" s="31" t="str">
        <f t="shared" si="40"/>
        <v> </v>
      </c>
      <c r="B375" s="31" t="str">
        <f>IF(A375=" "," ",($B$26-$B$3*($F$9))*((A375/($F$9))-($C$18/(PI()))*SIN((PI()*A375)/($F$9)))+$B$3*A375)</f>
        <v> </v>
      </c>
      <c r="C375" s="31" t="str">
        <f t="shared" si="44"/>
        <v> </v>
      </c>
      <c r="D375" s="31" t="str">
        <f t="shared" si="41"/>
        <v> </v>
      </c>
      <c r="E375" s="31" t="str">
        <f>IF(D375=" "," ",($E$26-$B$3*($F$8))*((D375/($F$8))-($C$18/(PI()))*SIN((PI()*D375)/($F$8)))+$B$3*D375)</f>
        <v> </v>
      </c>
      <c r="F375" s="31" t="str">
        <f t="shared" si="45"/>
        <v> </v>
      </c>
      <c r="G375" s="31"/>
      <c r="H375" s="31" t="str">
        <f t="shared" si="42"/>
        <v> </v>
      </c>
      <c r="I375" s="31" t="str">
        <f>IF(H375=" "," ",($I$26-$D$3*$F$13)*((H375/$F$13)-($C$18/(PI()))*SIN((PI()*H375)/$F$13))+$D$3*H375)</f>
        <v> </v>
      </c>
      <c r="J375" s="31" t="str">
        <f t="shared" si="46"/>
        <v> </v>
      </c>
      <c r="K375" s="31" t="str">
        <f t="shared" si="43"/>
        <v> </v>
      </c>
      <c r="L375" s="31" t="str">
        <f>IF(K375=" "," ",($L$26-$D$3*$F$12)*((K375/$F$12)-($C$18/(PI()))*SIN((PI()*K375)/$F$12))+$D$3*K375)</f>
        <v> </v>
      </c>
      <c r="M375" s="31" t="str">
        <f t="shared" si="47"/>
        <v> </v>
      </c>
    </row>
    <row r="376" spans="1:13">
      <c r="A376" s="31" t="str">
        <f t="shared" si="40"/>
        <v> </v>
      </c>
      <c r="B376" s="31" t="str">
        <f>IF(A376=" "," ",($B$26-$B$3*($F$9))*((A376/($F$9))-($C$18/(PI()))*SIN((PI()*A376)/($F$9)))+$B$3*A376)</f>
        <v> </v>
      </c>
      <c r="C376" s="31" t="str">
        <f t="shared" si="44"/>
        <v> </v>
      </c>
      <c r="D376" s="31" t="str">
        <f t="shared" si="41"/>
        <v> </v>
      </c>
      <c r="E376" s="31" t="str">
        <f>IF(D376=" "," ",($E$26-$B$3*($F$8))*((D376/($F$8))-($C$18/(PI()))*SIN((PI()*D376)/($F$8)))+$B$3*D376)</f>
        <v> </v>
      </c>
      <c r="F376" s="31" t="str">
        <f t="shared" si="45"/>
        <v> </v>
      </c>
      <c r="G376" s="31"/>
      <c r="H376" s="31" t="str">
        <f t="shared" si="42"/>
        <v> </v>
      </c>
      <c r="I376" s="31" t="str">
        <f>IF(H376=" "," ",($I$26-$D$3*$F$13)*((H376/$F$13)-($C$18/(PI()))*SIN((PI()*H376)/$F$13))+$D$3*H376)</f>
        <v> </v>
      </c>
      <c r="J376" s="31" t="str">
        <f t="shared" si="46"/>
        <v> </v>
      </c>
      <c r="K376" s="31" t="str">
        <f t="shared" si="43"/>
        <v> </v>
      </c>
      <c r="L376" s="31" t="str">
        <f>IF(K376=" "," ",($L$26-$D$3*$F$12)*((K376/$F$12)-($C$18/(PI()))*SIN((PI()*K376)/$F$12))+$D$3*K376)</f>
        <v> </v>
      </c>
      <c r="M376" s="31" t="str">
        <f t="shared" si="47"/>
        <v> </v>
      </c>
    </row>
    <row r="377" spans="1:13">
      <c r="A377" s="31" t="str">
        <f t="shared" si="40"/>
        <v> </v>
      </c>
      <c r="B377" s="31" t="str">
        <f>IF(A377=" "," ",($B$26-$B$3*($F$9))*((A377/($F$9))-($C$18/(PI()))*SIN((PI()*A377)/($F$9)))+$B$3*A377)</f>
        <v> </v>
      </c>
      <c r="C377" s="31" t="str">
        <f t="shared" si="44"/>
        <v> </v>
      </c>
      <c r="D377" s="31" t="str">
        <f t="shared" si="41"/>
        <v> </v>
      </c>
      <c r="E377" s="31" t="str">
        <f>IF(D377=" "," ",($E$26-$B$3*($F$8))*((D377/($F$8))-($C$18/(PI()))*SIN((PI()*D377)/($F$8)))+$B$3*D377)</f>
        <v> </v>
      </c>
      <c r="F377" s="31" t="str">
        <f t="shared" si="45"/>
        <v> </v>
      </c>
      <c r="G377" s="31"/>
      <c r="H377" s="31" t="str">
        <f t="shared" si="42"/>
        <v> </v>
      </c>
      <c r="I377" s="31" t="str">
        <f>IF(H377=" "," ",($I$26-$D$3*$F$13)*((H377/$F$13)-($C$18/(PI()))*SIN((PI()*H377)/$F$13))+$D$3*H377)</f>
        <v> </v>
      </c>
      <c r="J377" s="31" t="str">
        <f t="shared" si="46"/>
        <v> </v>
      </c>
      <c r="K377" s="31" t="str">
        <f t="shared" si="43"/>
        <v> </v>
      </c>
      <c r="L377" s="31" t="str">
        <f>IF(K377=" "," ",($L$26-$D$3*$F$12)*((K377/$F$12)-($C$18/(PI()))*SIN((PI()*K377)/$F$12))+$D$3*K377)</f>
        <v> </v>
      </c>
      <c r="M377" s="31" t="str">
        <f t="shared" si="47"/>
        <v> </v>
      </c>
    </row>
    <row r="378" spans="1:13">
      <c r="A378" s="31" t="str">
        <f t="shared" si="40"/>
        <v> </v>
      </c>
      <c r="B378" s="31" t="str">
        <f>IF(A378=" "," ",($B$26-$B$3*($F$9))*((A378/($F$9))-($C$18/(PI()))*SIN((PI()*A378)/($F$9)))+$B$3*A378)</f>
        <v> </v>
      </c>
      <c r="C378" s="31" t="str">
        <f t="shared" si="44"/>
        <v> </v>
      </c>
      <c r="D378" s="31" t="str">
        <f t="shared" si="41"/>
        <v> </v>
      </c>
      <c r="E378" s="31" t="str">
        <f>IF(D378=" "," ",($E$26-$B$3*($F$8))*((D378/($F$8))-($C$18/(PI()))*SIN((PI()*D378)/($F$8)))+$B$3*D378)</f>
        <v> </v>
      </c>
      <c r="F378" s="31" t="str">
        <f t="shared" si="45"/>
        <v> </v>
      </c>
      <c r="G378" s="31"/>
      <c r="H378" s="31" t="str">
        <f t="shared" si="42"/>
        <v> </v>
      </c>
      <c r="I378" s="31" t="str">
        <f>IF(H378=" "," ",($I$26-$D$3*$F$13)*((H378/$F$13)-($C$18/(PI()))*SIN((PI()*H378)/$F$13))+$D$3*H378)</f>
        <v> </v>
      </c>
      <c r="J378" s="31" t="str">
        <f t="shared" si="46"/>
        <v> </v>
      </c>
      <c r="K378" s="31" t="str">
        <f t="shared" si="43"/>
        <v> </v>
      </c>
      <c r="L378" s="31" t="str">
        <f>IF(K378=" "," ",($L$26-$D$3*$F$12)*((K378/$F$12)-($C$18/(PI()))*SIN((PI()*K378)/$F$12))+$D$3*K378)</f>
        <v> </v>
      </c>
      <c r="M378" s="31" t="str">
        <f t="shared" si="47"/>
        <v> </v>
      </c>
    </row>
    <row r="379" spans="1:13">
      <c r="A379" s="31" t="str">
        <f t="shared" si="40"/>
        <v> </v>
      </c>
      <c r="B379" s="31" t="str">
        <f>IF(A379=" "," ",($B$26-$B$3*($F$9))*((A379/($F$9))-($C$18/(PI()))*SIN((PI()*A379)/($F$9)))+$B$3*A379)</f>
        <v> </v>
      </c>
      <c r="C379" s="31" t="str">
        <f t="shared" si="44"/>
        <v> </v>
      </c>
      <c r="D379" s="31" t="str">
        <f t="shared" si="41"/>
        <v> </v>
      </c>
      <c r="E379" s="31" t="str">
        <f>IF(D379=" "," ",($E$26-$B$3*($F$8))*((D379/($F$8))-($C$18/(PI()))*SIN((PI()*D379)/($F$8)))+$B$3*D379)</f>
        <v> </v>
      </c>
      <c r="F379" s="31" t="str">
        <f t="shared" si="45"/>
        <v> </v>
      </c>
      <c r="G379" s="31"/>
      <c r="H379" s="31" t="str">
        <f t="shared" si="42"/>
        <v> </v>
      </c>
      <c r="I379" s="31" t="str">
        <f>IF(H379=" "," ",($I$26-$D$3*$F$13)*((H379/$F$13)-($C$18/(PI()))*SIN((PI()*H379)/$F$13))+$D$3*H379)</f>
        <v> </v>
      </c>
      <c r="J379" s="31" t="str">
        <f t="shared" si="46"/>
        <v> </v>
      </c>
      <c r="K379" s="31" t="str">
        <f t="shared" si="43"/>
        <v> </v>
      </c>
      <c r="L379" s="31" t="str">
        <f>IF(K379=" "," ",($L$26-$D$3*$F$12)*((K379/$F$12)-($C$18/(PI()))*SIN((PI()*K379)/$F$12))+$D$3*K379)</f>
        <v> </v>
      </c>
      <c r="M379" s="31" t="str">
        <f t="shared" si="47"/>
        <v> </v>
      </c>
    </row>
    <row r="380" spans="1:13">
      <c r="A380" s="31" t="str">
        <f t="shared" si="40"/>
        <v> </v>
      </c>
      <c r="B380" s="31" t="str">
        <f>IF(A380=" "," ",($B$26-$B$3*($F$9))*((A380/($F$9))-($C$18/(PI()))*SIN((PI()*A380)/($F$9)))+$B$3*A380)</f>
        <v> </v>
      </c>
      <c r="C380" s="31" t="str">
        <f t="shared" si="44"/>
        <v> </v>
      </c>
      <c r="D380" s="31" t="str">
        <f t="shared" si="41"/>
        <v> </v>
      </c>
      <c r="E380" s="31" t="str">
        <f>IF(D380=" "," ",($E$26-$B$3*($F$8))*((D380/($F$8))-($C$18/(PI()))*SIN((PI()*D380)/($F$8)))+$B$3*D380)</f>
        <v> </v>
      </c>
      <c r="F380" s="31" t="str">
        <f t="shared" si="45"/>
        <v> </v>
      </c>
      <c r="G380" s="31"/>
      <c r="H380" s="31" t="str">
        <f t="shared" si="42"/>
        <v> </v>
      </c>
      <c r="I380" s="31" t="str">
        <f>IF(H380=" "," ",($I$26-$D$3*$F$13)*((H380/$F$13)-($C$18/(PI()))*SIN((PI()*H380)/$F$13))+$D$3*H380)</f>
        <v> </v>
      </c>
      <c r="J380" s="31" t="str">
        <f t="shared" si="46"/>
        <v> </v>
      </c>
      <c r="K380" s="31" t="str">
        <f t="shared" si="43"/>
        <v> </v>
      </c>
      <c r="L380" s="31" t="str">
        <f>IF(K380=" "," ",($L$26-$D$3*$F$12)*((K380/$F$12)-($C$18/(PI()))*SIN((PI()*K380)/$F$12))+$D$3*K380)</f>
        <v> </v>
      </c>
      <c r="M380" s="31" t="str">
        <f t="shared" si="47"/>
        <v> </v>
      </c>
    </row>
    <row r="381" spans="1:13">
      <c r="A381" s="31" t="str">
        <f t="shared" si="40"/>
        <v> </v>
      </c>
      <c r="B381" s="31" t="str">
        <f>IF(A381=" "," ",($B$26-$B$3*($F$9))*((A381/($F$9))-($C$18/(PI()))*SIN((PI()*A381)/($F$9)))+$B$3*A381)</f>
        <v> </v>
      </c>
      <c r="C381" s="31" t="str">
        <f t="shared" si="44"/>
        <v> </v>
      </c>
      <c r="D381" s="31" t="str">
        <f t="shared" si="41"/>
        <v> </v>
      </c>
      <c r="E381" s="31" t="str">
        <f>IF(D381=" "," ",($E$26-$B$3*($F$8))*((D381/($F$8))-($C$18/(PI()))*SIN((PI()*D381)/($F$8)))+$B$3*D381)</f>
        <v> </v>
      </c>
      <c r="F381" s="31" t="str">
        <f t="shared" si="45"/>
        <v> </v>
      </c>
      <c r="G381" s="31"/>
      <c r="H381" s="31" t="str">
        <f t="shared" si="42"/>
        <v> </v>
      </c>
      <c r="I381" s="31" t="str">
        <f>IF(H381=" "," ",($I$26-$D$3*$F$13)*((H381/$F$13)-($C$18/(PI()))*SIN((PI()*H381)/$F$13))+$D$3*H381)</f>
        <v> </v>
      </c>
      <c r="J381" s="31" t="str">
        <f t="shared" si="46"/>
        <v> </v>
      </c>
      <c r="K381" s="31" t="str">
        <f t="shared" si="43"/>
        <v> </v>
      </c>
      <c r="L381" s="31" t="str">
        <f>IF(K381=" "," ",($L$26-$D$3*$F$12)*((K381/$F$12)-($C$18/(PI()))*SIN((PI()*K381)/$F$12))+$D$3*K381)</f>
        <v> </v>
      </c>
      <c r="M381" s="31" t="str">
        <f t="shared" si="47"/>
        <v> </v>
      </c>
    </row>
    <row r="382" spans="1:13">
      <c r="A382" s="31" t="str">
        <f t="shared" si="40"/>
        <v> </v>
      </c>
      <c r="B382" s="31" t="str">
        <f>IF(A382=" "," ",($B$26-$B$3*($F$9))*((A382/($F$9))-($C$18/(PI()))*SIN((PI()*A382)/($F$9)))+$B$3*A382)</f>
        <v> </v>
      </c>
      <c r="C382" s="31" t="str">
        <f t="shared" si="44"/>
        <v> </v>
      </c>
      <c r="D382" s="31" t="str">
        <f t="shared" si="41"/>
        <v> </v>
      </c>
      <c r="E382" s="31" t="str">
        <f>IF(D382=" "," ",($E$26-$B$3*($F$8))*((D382/($F$8))-($C$18/(PI()))*SIN((PI()*D382)/($F$8)))+$B$3*D382)</f>
        <v> </v>
      </c>
      <c r="F382" s="31" t="str">
        <f t="shared" si="45"/>
        <v> </v>
      </c>
      <c r="G382" s="31"/>
      <c r="H382" s="31" t="str">
        <f t="shared" si="42"/>
        <v> </v>
      </c>
      <c r="I382" s="31" t="str">
        <f>IF(H382=" "," ",($I$26-$D$3*$F$13)*((H382/$F$13)-($C$18/(PI()))*SIN((PI()*H382)/$F$13))+$D$3*H382)</f>
        <v> </v>
      </c>
      <c r="J382" s="31" t="str">
        <f t="shared" si="46"/>
        <v> </v>
      </c>
      <c r="K382" s="31" t="str">
        <f t="shared" si="43"/>
        <v> </v>
      </c>
      <c r="L382" s="31" t="str">
        <f>IF(K382=" "," ",($L$26-$D$3*$F$12)*((K382/$F$12)-($C$18/(PI()))*SIN((PI()*K382)/$F$12))+$D$3*K382)</f>
        <v> </v>
      </c>
      <c r="M382" s="31" t="str">
        <f t="shared" si="47"/>
        <v> </v>
      </c>
    </row>
    <row r="383" spans="1:13">
      <c r="A383" s="31" t="str">
        <f t="shared" si="40"/>
        <v> </v>
      </c>
      <c r="B383" s="31" t="str">
        <f>IF(A383=" "," ",($B$26-$B$3*($F$9))*((A383/($F$9))-($C$18/(PI()))*SIN((PI()*A383)/($F$9)))+$B$3*A383)</f>
        <v> </v>
      </c>
      <c r="C383" s="31" t="str">
        <f t="shared" si="44"/>
        <v> </v>
      </c>
      <c r="D383" s="31" t="str">
        <f t="shared" si="41"/>
        <v> </v>
      </c>
      <c r="E383" s="31" t="str">
        <f>IF(D383=" "," ",($E$26-$B$3*($F$8))*((D383/($F$8))-($C$18/(PI()))*SIN((PI()*D383)/($F$8)))+$B$3*D383)</f>
        <v> </v>
      </c>
      <c r="F383" s="31" t="str">
        <f t="shared" si="45"/>
        <v> </v>
      </c>
      <c r="G383" s="31"/>
      <c r="H383" s="31" t="str">
        <f t="shared" si="42"/>
        <v> </v>
      </c>
      <c r="I383" s="31" t="str">
        <f>IF(H383=" "," ",($I$26-$D$3*$F$13)*((H383/$F$13)-($C$18/(PI()))*SIN((PI()*H383)/$F$13))+$D$3*H383)</f>
        <v> </v>
      </c>
      <c r="J383" s="31" t="str">
        <f t="shared" si="46"/>
        <v> </v>
      </c>
      <c r="K383" s="31" t="str">
        <f t="shared" si="43"/>
        <v> </v>
      </c>
      <c r="L383" s="31" t="str">
        <f>IF(K383=" "," ",($L$26-$D$3*$F$12)*((K383/$F$12)-($C$18/(PI()))*SIN((PI()*K383)/$F$12))+$D$3*K383)</f>
        <v> </v>
      </c>
      <c r="M383" s="31" t="str">
        <f t="shared" si="47"/>
        <v> </v>
      </c>
    </row>
    <row r="384" spans="1:13">
      <c r="A384" s="31" t="str">
        <f t="shared" si="40"/>
        <v> </v>
      </c>
      <c r="B384" s="31" t="str">
        <f>IF(A384=" "," ",($B$26-$B$3*($F$9))*((A384/($F$9))-($C$18/(PI()))*SIN((PI()*A384)/($F$9)))+$B$3*A384)</f>
        <v> </v>
      </c>
      <c r="C384" s="31" t="str">
        <f t="shared" si="44"/>
        <v> </v>
      </c>
      <c r="D384" s="31" t="str">
        <f t="shared" si="41"/>
        <v> </v>
      </c>
      <c r="E384" s="31" t="str">
        <f>IF(D384=" "," ",($E$26-$B$3*($F$8))*((D384/($F$8))-($C$18/(PI()))*SIN((PI()*D384)/($F$8)))+$B$3*D384)</f>
        <v> </v>
      </c>
      <c r="F384" s="31" t="str">
        <f t="shared" si="45"/>
        <v> </v>
      </c>
      <c r="G384" s="31"/>
      <c r="H384" s="31" t="str">
        <f t="shared" si="42"/>
        <v> </v>
      </c>
      <c r="I384" s="31" t="str">
        <f>IF(H384=" "," ",($I$26-$D$3*$F$13)*((H384/$F$13)-($C$18/(PI()))*SIN((PI()*H384)/$F$13))+$D$3*H384)</f>
        <v> </v>
      </c>
      <c r="J384" s="31" t="str">
        <f t="shared" si="46"/>
        <v> </v>
      </c>
      <c r="K384" s="31" t="str">
        <f t="shared" si="43"/>
        <v> </v>
      </c>
      <c r="L384" s="31" t="str">
        <f>IF(K384=" "," ",($L$26-$D$3*$F$12)*((K384/$F$12)-($C$18/(PI()))*SIN((PI()*K384)/$F$12))+$D$3*K384)</f>
        <v> </v>
      </c>
      <c r="M384" s="31" t="str">
        <f t="shared" si="47"/>
        <v> </v>
      </c>
    </row>
    <row r="385" spans="1:13">
      <c r="A385" s="31" t="str">
        <f t="shared" si="40"/>
        <v> </v>
      </c>
      <c r="B385" s="31" t="str">
        <f>IF(A385=" "," ",($B$26-$B$3*($F$9))*((A385/($F$9))-($C$18/(PI()))*SIN((PI()*A385)/($F$9)))+$B$3*A385)</f>
        <v> </v>
      </c>
      <c r="C385" s="31" t="str">
        <f t="shared" si="44"/>
        <v> </v>
      </c>
      <c r="D385" s="31" t="str">
        <f t="shared" si="41"/>
        <v> </v>
      </c>
      <c r="E385" s="31" t="str">
        <f>IF(D385=" "," ",($E$26-$B$3*($F$8))*((D385/($F$8))-($C$18/(PI()))*SIN((PI()*D385)/($F$8)))+$B$3*D385)</f>
        <v> </v>
      </c>
      <c r="F385" s="31" t="str">
        <f t="shared" si="45"/>
        <v> </v>
      </c>
      <c r="G385" s="31"/>
      <c r="H385" s="31" t="str">
        <f t="shared" si="42"/>
        <v> </v>
      </c>
      <c r="I385" s="31" t="str">
        <f>IF(H385=" "," ",($I$26-$D$3*$F$13)*((H385/$F$13)-($C$18/(PI()))*SIN((PI()*H385)/$F$13))+$D$3*H385)</f>
        <v> </v>
      </c>
      <c r="J385" s="31" t="str">
        <f t="shared" si="46"/>
        <v> </v>
      </c>
      <c r="K385" s="31" t="str">
        <f t="shared" si="43"/>
        <v> </v>
      </c>
      <c r="L385" s="31" t="str">
        <f>IF(K385=" "," ",($L$26-$D$3*$F$12)*((K385/$F$12)-($C$18/(PI()))*SIN((PI()*K385)/$F$12))+$D$3*K385)</f>
        <v> </v>
      </c>
      <c r="M385" s="31" t="str">
        <f t="shared" si="47"/>
        <v> </v>
      </c>
    </row>
    <row r="386" spans="1:13">
      <c r="A386" s="31" t="str">
        <f t="shared" si="40"/>
        <v> </v>
      </c>
      <c r="B386" s="31" t="str">
        <f>IF(A386=" "," ",($B$26-$B$3*($F$9))*((A386/($F$9))-($C$18/(PI()))*SIN((PI()*A386)/($F$9)))+$B$3*A386)</f>
        <v> </v>
      </c>
      <c r="C386" s="31" t="str">
        <f t="shared" si="44"/>
        <v> </v>
      </c>
      <c r="D386" s="31" t="str">
        <f t="shared" si="41"/>
        <v> </v>
      </c>
      <c r="E386" s="31" t="str">
        <f>IF(D386=" "," ",($E$26-$B$3*($F$8))*((D386/($F$8))-($C$18/(PI()))*SIN((PI()*D386)/($F$8)))+$B$3*D386)</f>
        <v> </v>
      </c>
      <c r="F386" s="31" t="str">
        <f t="shared" si="45"/>
        <v> </v>
      </c>
      <c r="G386" s="31"/>
      <c r="H386" s="31" t="str">
        <f t="shared" si="42"/>
        <v> </v>
      </c>
      <c r="I386" s="31" t="str">
        <f>IF(H386=" "," ",($I$26-$D$3*$F$13)*((H386/$F$13)-($C$18/(PI()))*SIN((PI()*H386)/$F$13))+$D$3*H386)</f>
        <v> </v>
      </c>
      <c r="J386" s="31" t="str">
        <f t="shared" si="46"/>
        <v> </v>
      </c>
      <c r="K386" s="31" t="str">
        <f t="shared" si="43"/>
        <v> </v>
      </c>
      <c r="L386" s="31" t="str">
        <f>IF(K386=" "," ",($L$26-$D$3*$F$12)*((K386/$F$12)-($C$18/(PI()))*SIN((PI()*K386)/$F$12))+$D$3*K386)</f>
        <v> </v>
      </c>
      <c r="M386" s="31" t="str">
        <f t="shared" si="47"/>
        <v> </v>
      </c>
    </row>
    <row r="387" spans="1:13">
      <c r="A387" s="31" t="str">
        <f t="shared" si="40"/>
        <v> </v>
      </c>
      <c r="B387" s="31" t="str">
        <f>IF(A387=" "," ",($B$26-$B$3*($F$9))*((A387/($F$9))-($C$18/(PI()))*SIN((PI()*A387)/($F$9)))+$B$3*A387)</f>
        <v> </v>
      </c>
      <c r="C387" s="31" t="str">
        <f t="shared" si="44"/>
        <v> </v>
      </c>
      <c r="D387" s="31" t="str">
        <f t="shared" si="41"/>
        <v> </v>
      </c>
      <c r="E387" s="31" t="str">
        <f>IF(D387=" "," ",($E$26-$B$3*($F$8))*((D387/($F$8))-($C$18/(PI()))*SIN((PI()*D387)/($F$8)))+$B$3*D387)</f>
        <v> </v>
      </c>
      <c r="F387" s="31" t="str">
        <f t="shared" si="45"/>
        <v> </v>
      </c>
      <c r="G387" s="31"/>
      <c r="H387" s="31" t="str">
        <f t="shared" si="42"/>
        <v> </v>
      </c>
      <c r="I387" s="31" t="str">
        <f>IF(H387=" "," ",($I$26-$D$3*$F$13)*((H387/$F$13)-($C$18/(PI()))*SIN((PI()*H387)/$F$13))+$D$3*H387)</f>
        <v> </v>
      </c>
      <c r="J387" s="31" t="str">
        <f t="shared" si="46"/>
        <v> </v>
      </c>
      <c r="K387" s="31" t="str">
        <f t="shared" si="43"/>
        <v> </v>
      </c>
      <c r="L387" s="31" t="str">
        <f>IF(K387=" "," ",($L$26-$D$3*$F$12)*((K387/$F$12)-($C$18/(PI()))*SIN((PI()*K387)/$F$12))+$D$3*K387)</f>
        <v> </v>
      </c>
      <c r="M387" s="31" t="str">
        <f t="shared" si="47"/>
        <v> </v>
      </c>
    </row>
    <row r="388" spans="1:13">
      <c r="A388" s="31" t="str">
        <f t="shared" si="40"/>
        <v> </v>
      </c>
      <c r="B388" s="31" t="str">
        <f>IF(A388=" "," ",($B$26-$B$3*($F$9))*((A388/($F$9))-($C$18/(PI()))*SIN((PI()*A388)/($F$9)))+$B$3*A388)</f>
        <v> </v>
      </c>
      <c r="C388" s="31" t="str">
        <f t="shared" si="44"/>
        <v> </v>
      </c>
      <c r="D388" s="31" t="str">
        <f t="shared" si="41"/>
        <v> </v>
      </c>
      <c r="E388" s="31" t="str">
        <f>IF(D388=" "," ",($E$26-$B$3*($F$8))*((D388/($F$8))-($C$18/(PI()))*SIN((PI()*D388)/($F$8)))+$B$3*D388)</f>
        <v> </v>
      </c>
      <c r="F388" s="31" t="str">
        <f t="shared" si="45"/>
        <v> </v>
      </c>
      <c r="G388" s="31"/>
      <c r="H388" s="31" t="str">
        <f t="shared" si="42"/>
        <v> </v>
      </c>
      <c r="I388" s="31" t="str">
        <f>IF(H388=" "," ",($I$26-$D$3*$F$13)*((H388/$F$13)-($C$18/(PI()))*SIN((PI()*H388)/$F$13))+$D$3*H388)</f>
        <v> </v>
      </c>
      <c r="J388" s="31" t="str">
        <f t="shared" si="46"/>
        <v> </v>
      </c>
      <c r="K388" s="31" t="str">
        <f t="shared" si="43"/>
        <v> </v>
      </c>
      <c r="L388" s="31" t="str">
        <f>IF(K388=" "," ",($L$26-$D$3*$F$12)*((K388/$F$12)-($C$18/(PI()))*SIN((PI()*K388)/$F$12))+$D$3*K388)</f>
        <v> </v>
      </c>
      <c r="M388" s="31" t="str">
        <f t="shared" si="47"/>
        <v> </v>
      </c>
    </row>
    <row r="389" spans="1:13">
      <c r="A389" s="31" t="str">
        <f t="shared" si="40"/>
        <v> </v>
      </c>
      <c r="B389" s="31" t="str">
        <f>IF(A389=" "," ",($B$26-$B$3*($F$9))*((A389/($F$9))-($C$18/(PI()))*SIN((PI()*A389)/($F$9)))+$B$3*A389)</f>
        <v> </v>
      </c>
      <c r="C389" s="31" t="str">
        <f t="shared" si="44"/>
        <v> </v>
      </c>
      <c r="D389" s="31" t="str">
        <f t="shared" si="41"/>
        <v> </v>
      </c>
      <c r="E389" s="31" t="str">
        <f>IF(D389=" "," ",($E$26-$B$3*($F$8))*((D389/($F$8))-($C$18/(PI()))*SIN((PI()*D389)/($F$8)))+$B$3*D389)</f>
        <v> </v>
      </c>
      <c r="F389" s="31" t="str">
        <f t="shared" si="45"/>
        <v> </v>
      </c>
      <c r="G389" s="31"/>
      <c r="H389" s="31" t="str">
        <f t="shared" si="42"/>
        <v> </v>
      </c>
      <c r="I389" s="31" t="str">
        <f>IF(H389=" "," ",($I$26-$D$3*$F$13)*((H389/$F$13)-($C$18/(PI()))*SIN((PI()*H389)/$F$13))+$D$3*H389)</f>
        <v> </v>
      </c>
      <c r="J389" s="31" t="str">
        <f t="shared" si="46"/>
        <v> </v>
      </c>
      <c r="K389" s="31" t="str">
        <f t="shared" si="43"/>
        <v> </v>
      </c>
      <c r="L389" s="31" t="str">
        <f>IF(K389=" "," ",($L$26-$D$3*$F$12)*((K389/$F$12)-($C$18/(PI()))*SIN((PI()*K389)/$F$12))+$D$3*K389)</f>
        <v> </v>
      </c>
      <c r="M389" s="31" t="str">
        <f t="shared" si="47"/>
        <v> </v>
      </c>
    </row>
    <row r="390" spans="1:13">
      <c r="A390" s="31" t="str">
        <f t="shared" si="40"/>
        <v> </v>
      </c>
      <c r="B390" s="31" t="str">
        <f>IF(A390=" "," ",($B$26-$B$3*($F$9))*((A390/($F$9))-($C$18/(PI()))*SIN((PI()*A390)/($F$9)))+$B$3*A390)</f>
        <v> </v>
      </c>
      <c r="C390" s="31" t="str">
        <f t="shared" si="44"/>
        <v> </v>
      </c>
      <c r="D390" s="31" t="str">
        <f t="shared" si="41"/>
        <v> </v>
      </c>
      <c r="E390" s="31" t="str">
        <f>IF(D390=" "," ",($E$26-$B$3*($F$8))*((D390/($F$8))-($C$18/(PI()))*SIN((PI()*D390)/($F$8)))+$B$3*D390)</f>
        <v> </v>
      </c>
      <c r="F390" s="31" t="str">
        <f t="shared" si="45"/>
        <v> </v>
      </c>
      <c r="G390" s="31"/>
      <c r="H390" s="31" t="str">
        <f t="shared" si="42"/>
        <v> </v>
      </c>
      <c r="I390" s="31" t="str">
        <f>IF(H390=" "," ",($I$26-$D$3*$F$13)*((H390/$F$13)-($C$18/(PI()))*SIN((PI()*H390)/$F$13))+$D$3*H390)</f>
        <v> </v>
      </c>
      <c r="J390" s="31" t="str">
        <f t="shared" si="46"/>
        <v> </v>
      </c>
      <c r="K390" s="31" t="str">
        <f t="shared" si="43"/>
        <v> </v>
      </c>
      <c r="L390" s="31" t="str">
        <f>IF(K390=" "," ",($L$26-$D$3*$F$12)*((K390/$F$12)-($C$18/(PI()))*SIN((PI()*K390)/$F$12))+$D$3*K390)</f>
        <v> </v>
      </c>
      <c r="M390" s="31" t="str">
        <f t="shared" si="47"/>
        <v> </v>
      </c>
    </row>
    <row r="391" spans="1:13">
      <c r="A391" s="31" t="str">
        <f t="shared" si="40"/>
        <v> </v>
      </c>
      <c r="B391" s="31" t="str">
        <f>IF(A391=" "," ",($B$26-$B$3*($F$9))*((A391/($F$9))-($C$18/(PI()))*SIN((PI()*A391)/($F$9)))+$B$3*A391)</f>
        <v> </v>
      </c>
      <c r="C391" s="31" t="str">
        <f t="shared" si="44"/>
        <v> </v>
      </c>
      <c r="D391" s="31" t="str">
        <f t="shared" si="41"/>
        <v> </v>
      </c>
      <c r="E391" s="31" t="str">
        <f>IF(D391=" "," ",($E$26-$B$3*($F$8))*((D391/($F$8))-($C$18/(PI()))*SIN((PI()*D391)/($F$8)))+$B$3*D391)</f>
        <v> </v>
      </c>
      <c r="F391" s="31" t="str">
        <f t="shared" si="45"/>
        <v> </v>
      </c>
      <c r="G391" s="31"/>
      <c r="H391" s="31" t="str">
        <f t="shared" si="42"/>
        <v> </v>
      </c>
      <c r="I391" s="31" t="str">
        <f>IF(H391=" "," ",($I$26-$D$3*$F$13)*((H391/$F$13)-($C$18/(PI()))*SIN((PI()*H391)/$F$13))+$D$3*H391)</f>
        <v> </v>
      </c>
      <c r="J391" s="31" t="str">
        <f t="shared" si="46"/>
        <v> </v>
      </c>
      <c r="K391" s="31" t="str">
        <f t="shared" si="43"/>
        <v> </v>
      </c>
      <c r="L391" s="31" t="str">
        <f>IF(K391=" "," ",($L$26-$D$3*$F$12)*((K391/$F$12)-($C$18/(PI()))*SIN((PI()*K391)/$F$12))+$D$3*K391)</f>
        <v> </v>
      </c>
      <c r="M391" s="31" t="str">
        <f t="shared" si="47"/>
        <v> </v>
      </c>
    </row>
    <row r="392" spans="1:13">
      <c r="A392" s="31" t="str">
        <f t="shared" si="40"/>
        <v> </v>
      </c>
      <c r="B392" s="31" t="str">
        <f>IF(A392=" "," ",($B$26-$B$3*($F$9))*((A392/($F$9))-($C$18/(PI()))*SIN((PI()*A392)/($F$9)))+$B$3*A392)</f>
        <v> </v>
      </c>
      <c r="C392" s="31" t="str">
        <f t="shared" si="44"/>
        <v> </v>
      </c>
      <c r="D392" s="31" t="str">
        <f t="shared" si="41"/>
        <v> </v>
      </c>
      <c r="E392" s="31" t="str">
        <f>IF(D392=" "," ",($E$26-$B$3*($F$8))*((D392/($F$8))-($C$18/(PI()))*SIN((PI()*D392)/($F$8)))+$B$3*D392)</f>
        <v> </v>
      </c>
      <c r="F392" s="31" t="str">
        <f t="shared" si="45"/>
        <v> </v>
      </c>
      <c r="G392" s="31"/>
      <c r="H392" s="31" t="str">
        <f t="shared" si="42"/>
        <v> </v>
      </c>
      <c r="I392" s="31" t="str">
        <f>IF(H392=" "," ",($I$26-$D$3*$F$13)*((H392/$F$13)-($C$18/(PI()))*SIN((PI()*H392)/$F$13))+$D$3*H392)</f>
        <v> </v>
      </c>
      <c r="J392" s="31" t="str">
        <f t="shared" si="46"/>
        <v> </v>
      </c>
      <c r="K392" s="31" t="str">
        <f t="shared" si="43"/>
        <v> </v>
      </c>
      <c r="L392" s="31" t="str">
        <f>IF(K392=" "," ",($L$26-$D$3*$F$12)*((K392/$F$12)-($C$18/(PI()))*SIN((PI()*K392)/$F$12))+$D$3*K392)</f>
        <v> </v>
      </c>
      <c r="M392" s="31" t="str">
        <f t="shared" si="47"/>
        <v> </v>
      </c>
    </row>
    <row r="393" spans="1:13">
      <c r="A393" s="31" t="str">
        <f t="shared" si="40"/>
        <v> </v>
      </c>
      <c r="B393" s="31" t="str">
        <f>IF(A393=" "," ",($B$26-$B$3*($F$9))*((A393/($F$9))-($C$18/(PI()))*SIN((PI()*A393)/($F$9)))+$B$3*A393)</f>
        <v> </v>
      </c>
      <c r="C393" s="31" t="str">
        <f t="shared" si="44"/>
        <v> </v>
      </c>
      <c r="D393" s="31" t="str">
        <f t="shared" si="41"/>
        <v> </v>
      </c>
      <c r="E393" s="31" t="str">
        <f>IF(D393=" "," ",($E$26-$B$3*($F$8))*((D393/($F$8))-($C$18/(PI()))*SIN((PI()*D393)/($F$8)))+$B$3*D393)</f>
        <v> </v>
      </c>
      <c r="F393" s="31" t="str">
        <f t="shared" si="45"/>
        <v> </v>
      </c>
      <c r="G393" s="31"/>
      <c r="H393" s="31" t="str">
        <f t="shared" si="42"/>
        <v> </v>
      </c>
      <c r="I393" s="31" t="str">
        <f>IF(H393=" "," ",($I$26-$D$3*$F$13)*((H393/$F$13)-($C$18/(PI()))*SIN((PI()*H393)/$F$13))+$D$3*H393)</f>
        <v> </v>
      </c>
      <c r="J393" s="31" t="str">
        <f t="shared" si="46"/>
        <v> </v>
      </c>
      <c r="K393" s="31" t="str">
        <f t="shared" si="43"/>
        <v> </v>
      </c>
      <c r="L393" s="31" t="str">
        <f>IF(K393=" "," ",($L$26-$D$3*$F$12)*((K393/$F$12)-($C$18/(PI()))*SIN((PI()*K393)/$F$12))+$D$3*K393)</f>
        <v> </v>
      </c>
      <c r="M393" s="31" t="str">
        <f t="shared" si="47"/>
        <v> </v>
      </c>
    </row>
    <row r="394" spans="1:13">
      <c r="A394" s="31" t="str">
        <f t="shared" si="40"/>
        <v> </v>
      </c>
      <c r="B394" s="31" t="str">
        <f>IF(A394=" "," ",($B$26-$B$3*($F$9))*((A394/($F$9))-($C$18/(PI()))*SIN((PI()*A394)/($F$9)))+$B$3*A394)</f>
        <v> </v>
      </c>
      <c r="C394" s="31" t="str">
        <f t="shared" si="44"/>
        <v> </v>
      </c>
      <c r="D394" s="31" t="str">
        <f t="shared" si="41"/>
        <v> </v>
      </c>
      <c r="E394" s="31" t="str">
        <f>IF(D394=" "," ",($E$26-$B$3*($F$8))*((D394/($F$8))-($C$18/(PI()))*SIN((PI()*D394)/($F$8)))+$B$3*D394)</f>
        <v> </v>
      </c>
      <c r="F394" s="31" t="str">
        <f t="shared" si="45"/>
        <v> </v>
      </c>
      <c r="G394" s="31"/>
      <c r="H394" s="31" t="str">
        <f t="shared" si="42"/>
        <v> </v>
      </c>
      <c r="I394" s="31" t="str">
        <f>IF(H394=" "," ",($I$26-$D$3*$F$13)*((H394/$F$13)-($C$18/(PI()))*SIN((PI()*H394)/$F$13))+$D$3*H394)</f>
        <v> </v>
      </c>
      <c r="J394" s="31" t="str">
        <f t="shared" si="46"/>
        <v> </v>
      </c>
      <c r="K394" s="31" t="str">
        <f t="shared" si="43"/>
        <v> </v>
      </c>
      <c r="L394" s="31" t="str">
        <f>IF(K394=" "," ",($L$26-$D$3*$F$12)*((K394/$F$12)-($C$18/(PI()))*SIN((PI()*K394)/$F$12))+$D$3*K394)</f>
        <v> </v>
      </c>
      <c r="M394" s="31" t="str">
        <f t="shared" si="47"/>
        <v> </v>
      </c>
    </row>
    <row r="395" spans="1:13">
      <c r="A395" s="31" t="str">
        <f t="shared" si="40"/>
        <v> </v>
      </c>
      <c r="B395" s="31" t="str">
        <f>IF(A395=" "," ",($B$26-$B$3*($F$9))*((A395/($F$9))-($C$18/(PI()))*SIN((PI()*A395)/($F$9)))+$B$3*A395)</f>
        <v> </v>
      </c>
      <c r="C395" s="31" t="str">
        <f t="shared" si="44"/>
        <v> </v>
      </c>
      <c r="D395" s="31" t="str">
        <f t="shared" si="41"/>
        <v> </v>
      </c>
      <c r="E395" s="31" t="str">
        <f>IF(D395=" "," ",($E$26-$B$3*($F$8))*((D395/($F$8))-($C$18/(PI()))*SIN((PI()*D395)/($F$8)))+$B$3*D395)</f>
        <v> </v>
      </c>
      <c r="F395" s="31" t="str">
        <f t="shared" si="45"/>
        <v> </v>
      </c>
      <c r="G395" s="31"/>
      <c r="H395" s="31" t="str">
        <f t="shared" si="42"/>
        <v> </v>
      </c>
      <c r="I395" s="31" t="str">
        <f>IF(H395=" "," ",($I$26-$D$3*$F$13)*((H395/$F$13)-($C$18/(PI()))*SIN((PI()*H395)/$F$13))+$D$3*H395)</f>
        <v> </v>
      </c>
      <c r="J395" s="31" t="str">
        <f t="shared" si="46"/>
        <v> </v>
      </c>
      <c r="K395" s="31" t="str">
        <f t="shared" si="43"/>
        <v> </v>
      </c>
      <c r="L395" s="31" t="str">
        <f>IF(K395=" "," ",($L$26-$D$3*$F$12)*((K395/$F$12)-($C$18/(PI()))*SIN((PI()*K395)/$F$12))+$D$3*K395)</f>
        <v> </v>
      </c>
      <c r="M395" s="31" t="str">
        <f t="shared" si="47"/>
        <v> </v>
      </c>
    </row>
    <row r="396" spans="1:13">
      <c r="A396" s="31" t="str">
        <f t="shared" si="40"/>
        <v> </v>
      </c>
      <c r="B396" s="31" t="str">
        <f>IF(A396=" "," ",($B$26-$B$3*($F$9))*((A396/($F$9))-($C$18/(PI()))*SIN((PI()*A396)/($F$9)))+$B$3*A396)</f>
        <v> </v>
      </c>
      <c r="C396" s="31" t="str">
        <f t="shared" si="44"/>
        <v> </v>
      </c>
      <c r="D396" s="31" t="str">
        <f t="shared" si="41"/>
        <v> </v>
      </c>
      <c r="E396" s="31" t="str">
        <f>IF(D396=" "," ",($E$26-$B$3*($F$8))*((D396/($F$8))-($C$18/(PI()))*SIN((PI()*D396)/($F$8)))+$B$3*D396)</f>
        <v> </v>
      </c>
      <c r="F396" s="31" t="str">
        <f t="shared" si="45"/>
        <v> </v>
      </c>
      <c r="G396" s="31"/>
      <c r="H396" s="31" t="str">
        <f t="shared" si="42"/>
        <v> </v>
      </c>
      <c r="I396" s="31" t="str">
        <f>IF(H396=" "," ",($I$26-$D$3*$F$13)*((H396/$F$13)-($C$18/(PI()))*SIN((PI()*H396)/$F$13))+$D$3*H396)</f>
        <v> </v>
      </c>
      <c r="J396" s="31" t="str">
        <f t="shared" si="46"/>
        <v> </v>
      </c>
      <c r="K396" s="31" t="str">
        <f t="shared" si="43"/>
        <v> </v>
      </c>
      <c r="L396" s="31" t="str">
        <f>IF(K396=" "," ",($L$26-$D$3*$F$12)*((K396/$F$12)-($C$18/(PI()))*SIN((PI()*K396)/$F$12))+$D$3*K396)</f>
        <v> </v>
      </c>
      <c r="M396" s="31" t="str">
        <f t="shared" si="47"/>
        <v> </v>
      </c>
    </row>
    <row r="397" spans="1:13">
      <c r="A397" s="31" t="str">
        <f t="shared" si="40"/>
        <v> </v>
      </c>
      <c r="B397" s="31" t="str">
        <f>IF(A397=" "," ",($B$26-$B$3*($F$9))*((A397/($F$9))-($C$18/(PI()))*SIN((PI()*A397)/($F$9)))+$B$3*A397)</f>
        <v> </v>
      </c>
      <c r="C397" s="31" t="str">
        <f t="shared" si="44"/>
        <v> </v>
      </c>
      <c r="D397" s="31" t="str">
        <f t="shared" si="41"/>
        <v> </v>
      </c>
      <c r="E397" s="31" t="str">
        <f>IF(D397=" "," ",($E$26-$B$3*($F$8))*((D397/($F$8))-($C$18/(PI()))*SIN((PI()*D397)/($F$8)))+$B$3*D397)</f>
        <v> </v>
      </c>
      <c r="F397" s="31" t="str">
        <f t="shared" si="45"/>
        <v> </v>
      </c>
      <c r="G397" s="31"/>
      <c r="H397" s="31" t="str">
        <f t="shared" si="42"/>
        <v> </v>
      </c>
      <c r="I397" s="31" t="str">
        <f>IF(H397=" "," ",($I$26-$D$3*$F$13)*((H397/$F$13)-($C$18/(PI()))*SIN((PI()*H397)/$F$13))+$D$3*H397)</f>
        <v> </v>
      </c>
      <c r="J397" s="31" t="str">
        <f t="shared" si="46"/>
        <v> </v>
      </c>
      <c r="K397" s="31" t="str">
        <f t="shared" si="43"/>
        <v> </v>
      </c>
      <c r="L397" s="31" t="str">
        <f>IF(K397=" "," ",($L$26-$D$3*$F$12)*((K397/$F$12)-($C$18/(PI()))*SIN((PI()*K397)/$F$12))+$D$3*K397)</f>
        <v> </v>
      </c>
      <c r="M397" s="31" t="str">
        <f t="shared" si="47"/>
        <v> </v>
      </c>
    </row>
    <row r="398" spans="1:13">
      <c r="A398" s="31" t="str">
        <f t="shared" si="40"/>
        <v> </v>
      </c>
      <c r="B398" s="31" t="str">
        <f>IF(A398=" "," ",($B$26-$B$3*($F$9))*((A398/($F$9))-($C$18/(PI()))*SIN((PI()*A398)/($F$9)))+$B$3*A398)</f>
        <v> </v>
      </c>
      <c r="C398" s="31" t="str">
        <f t="shared" si="44"/>
        <v> </v>
      </c>
      <c r="D398" s="31" t="str">
        <f t="shared" si="41"/>
        <v> </v>
      </c>
      <c r="E398" s="31" t="str">
        <f>IF(D398=" "," ",($E$26-$B$3*($F$8))*((D398/($F$8))-($C$18/(PI()))*SIN((PI()*D398)/($F$8)))+$B$3*D398)</f>
        <v> </v>
      </c>
      <c r="F398" s="31" t="str">
        <f t="shared" si="45"/>
        <v> </v>
      </c>
      <c r="G398" s="31"/>
      <c r="H398" s="31" t="str">
        <f t="shared" si="42"/>
        <v> </v>
      </c>
      <c r="I398" s="31" t="str">
        <f>IF(H398=" "," ",($I$26-$D$3*$F$13)*((H398/$F$13)-($C$18/(PI()))*SIN((PI()*H398)/$F$13))+$D$3*H398)</f>
        <v> </v>
      </c>
      <c r="J398" s="31" t="str">
        <f t="shared" si="46"/>
        <v> </v>
      </c>
      <c r="K398" s="31" t="str">
        <f t="shared" si="43"/>
        <v> </v>
      </c>
      <c r="L398" s="31" t="str">
        <f>IF(K398=" "," ",($L$26-$D$3*$F$12)*((K398/$F$12)-($C$18/(PI()))*SIN((PI()*K398)/$F$12))+$D$3*K398)</f>
        <v> </v>
      </c>
      <c r="M398" s="31" t="str">
        <f t="shared" si="47"/>
        <v> </v>
      </c>
    </row>
    <row r="399" spans="1:13">
      <c r="A399" s="31" t="str">
        <f t="shared" si="40"/>
        <v> </v>
      </c>
      <c r="B399" s="31" t="str">
        <f>IF(A399=" "," ",($B$26-$B$3*($F$9))*((A399/($F$9))-($C$18/(PI()))*SIN((PI()*A399)/($F$9)))+$B$3*A399)</f>
        <v> </v>
      </c>
      <c r="C399" s="31" t="str">
        <f t="shared" si="44"/>
        <v> </v>
      </c>
      <c r="D399" s="31" t="str">
        <f t="shared" si="41"/>
        <v> </v>
      </c>
      <c r="E399" s="31" t="str">
        <f>IF(D399=" "," ",($E$26-$B$3*($F$8))*((D399/($F$8))-($C$18/(PI()))*SIN((PI()*D399)/($F$8)))+$B$3*D399)</f>
        <v> </v>
      </c>
      <c r="F399" s="31" t="str">
        <f t="shared" si="45"/>
        <v> </v>
      </c>
      <c r="G399" s="31"/>
      <c r="H399" s="31" t="str">
        <f t="shared" si="42"/>
        <v> </v>
      </c>
      <c r="I399" s="31" t="str">
        <f>IF(H399=" "," ",($I$26-$D$3*$F$13)*((H399/$F$13)-($C$18/(PI()))*SIN((PI()*H399)/$F$13))+$D$3*H399)</f>
        <v> </v>
      </c>
      <c r="J399" s="31" t="str">
        <f t="shared" si="46"/>
        <v> </v>
      </c>
      <c r="K399" s="31" t="str">
        <f t="shared" si="43"/>
        <v> </v>
      </c>
      <c r="L399" s="31" t="str">
        <f>IF(K399=" "," ",($L$26-$D$3*$F$12)*((K399/$F$12)-($C$18/(PI()))*SIN((PI()*K399)/$F$12))+$D$3*K399)</f>
        <v> </v>
      </c>
      <c r="M399" s="31" t="str">
        <f t="shared" si="47"/>
        <v> </v>
      </c>
    </row>
    <row r="400" spans="1:13">
      <c r="A400" s="31" t="str">
        <f t="shared" si="40"/>
        <v> </v>
      </c>
      <c r="B400" s="31" t="str">
        <f>IF(A400=" "," ",($B$26-$B$3*($F$9))*((A400/($F$9))-($C$18/(PI()))*SIN((PI()*A400)/($F$9)))+$B$3*A400)</f>
        <v> </v>
      </c>
      <c r="C400" s="31" t="str">
        <f t="shared" si="44"/>
        <v> </v>
      </c>
      <c r="D400" s="31" t="str">
        <f t="shared" si="41"/>
        <v> </v>
      </c>
      <c r="E400" s="31" t="str">
        <f>IF(D400=" "," ",($E$26-$B$3*($F$8))*((D400/($F$8))-($C$18/(PI()))*SIN((PI()*D400)/($F$8)))+$B$3*D400)</f>
        <v> </v>
      </c>
      <c r="F400" s="31" t="str">
        <f t="shared" si="45"/>
        <v> </v>
      </c>
      <c r="G400" s="31"/>
      <c r="H400" s="31" t="str">
        <f t="shared" si="42"/>
        <v> </v>
      </c>
      <c r="I400" s="31" t="str">
        <f>IF(H400=" "," ",($I$26-$D$3*$F$13)*((H400/$F$13)-($C$18/(PI()))*SIN((PI()*H400)/$F$13))+$D$3*H400)</f>
        <v> </v>
      </c>
      <c r="J400" s="31" t="str">
        <f t="shared" si="46"/>
        <v> </v>
      </c>
      <c r="K400" s="31" t="str">
        <f t="shared" si="43"/>
        <v> </v>
      </c>
      <c r="L400" s="31" t="str">
        <f>IF(K400=" "," ",($L$26-$D$3*$F$12)*((K400/$F$12)-($C$18/(PI()))*SIN((PI()*K400)/$F$12))+$D$3*K400)</f>
        <v> </v>
      </c>
      <c r="M400" s="31" t="str">
        <f t="shared" si="47"/>
        <v> </v>
      </c>
    </row>
    <row r="401" spans="1:13">
      <c r="A401" s="31" t="str">
        <f t="shared" si="40"/>
        <v> </v>
      </c>
      <c r="B401" s="31" t="str">
        <f>IF(A401=" "," ",($B$26-$B$3*($F$9))*((A401/($F$9))-($C$18/(PI()))*SIN((PI()*A401)/($F$9)))+$B$3*A401)</f>
        <v> </v>
      </c>
      <c r="C401" s="31" t="str">
        <f t="shared" si="44"/>
        <v> </v>
      </c>
      <c r="D401" s="31" t="str">
        <f t="shared" si="41"/>
        <v> </v>
      </c>
      <c r="E401" s="31" t="str">
        <f>IF(D401=" "," ",($E$26-$B$3*($F$8))*((D401/($F$8))-($C$18/(PI()))*SIN((PI()*D401)/($F$8)))+$B$3*D401)</f>
        <v> </v>
      </c>
      <c r="F401" s="31" t="str">
        <f t="shared" si="45"/>
        <v> </v>
      </c>
      <c r="G401" s="31"/>
      <c r="H401" s="31" t="str">
        <f t="shared" si="42"/>
        <v> </v>
      </c>
      <c r="I401" s="31" t="str">
        <f>IF(H401=" "," ",($I$26-$D$3*$F$13)*((H401/$F$13)-($C$18/(PI()))*SIN((PI()*H401)/$F$13))+$D$3*H401)</f>
        <v> </v>
      </c>
      <c r="J401" s="31" t="str">
        <f t="shared" si="46"/>
        <v> </v>
      </c>
      <c r="K401" s="31" t="str">
        <f t="shared" si="43"/>
        <v> </v>
      </c>
      <c r="L401" s="31" t="str">
        <f>IF(K401=" "," ",($L$26-$D$3*$F$12)*((K401/$F$12)-($C$18/(PI()))*SIN((PI()*K401)/$F$12))+$D$3*K401)</f>
        <v> </v>
      </c>
      <c r="M401" s="31" t="str">
        <f t="shared" si="47"/>
        <v> </v>
      </c>
    </row>
    <row r="402" spans="1:13">
      <c r="A402" s="31" t="str">
        <f t="shared" si="40"/>
        <v> </v>
      </c>
      <c r="B402" s="31" t="str">
        <f>IF(A402=" "," ",($B$26-$B$3*($F$9))*((A402/($F$9))-($C$18/(PI()))*SIN((PI()*A402)/($F$9)))+$B$3*A402)</f>
        <v> </v>
      </c>
      <c r="C402" s="31" t="str">
        <f t="shared" si="44"/>
        <v> </v>
      </c>
      <c r="D402" s="31" t="str">
        <f t="shared" si="41"/>
        <v> </v>
      </c>
      <c r="E402" s="31" t="str">
        <f>IF(D402=" "," ",($E$26-$B$3*($F$8))*((D402/($F$8))-($C$18/(PI()))*SIN((PI()*D402)/($F$8)))+$B$3*D402)</f>
        <v> </v>
      </c>
      <c r="F402" s="31" t="str">
        <f t="shared" si="45"/>
        <v> </v>
      </c>
      <c r="G402" s="31"/>
      <c r="H402" s="31" t="str">
        <f t="shared" si="42"/>
        <v> </v>
      </c>
      <c r="I402" s="31" t="str">
        <f>IF(H402=" "," ",($I$26-$D$3*$F$13)*((H402/$F$13)-($C$18/(PI()))*SIN((PI()*H402)/$F$13))+$D$3*H402)</f>
        <v> </v>
      </c>
      <c r="J402" s="31" t="str">
        <f t="shared" si="46"/>
        <v> </v>
      </c>
      <c r="K402" s="31" t="str">
        <f t="shared" si="43"/>
        <v> </v>
      </c>
      <c r="L402" s="31" t="str">
        <f>IF(K402=" "," ",($L$26-$D$3*$F$12)*((K402/$F$12)-($C$18/(PI()))*SIN((PI()*K402)/$F$12))+$D$3*K402)</f>
        <v> </v>
      </c>
      <c r="M402" s="31" t="str">
        <f t="shared" si="47"/>
        <v> </v>
      </c>
    </row>
    <row r="403" spans="1:13">
      <c r="A403" s="31" t="str">
        <f t="shared" si="40"/>
        <v> </v>
      </c>
      <c r="B403" s="31" t="str">
        <f>IF(A403=" "," ",($B$26-$B$3*($F$9))*((A403/($F$9))-($C$18/(PI()))*SIN((PI()*A403)/($F$9)))+$B$3*A403)</f>
        <v> </v>
      </c>
      <c r="C403" s="31" t="str">
        <f t="shared" si="44"/>
        <v> </v>
      </c>
      <c r="D403" s="31" t="str">
        <f t="shared" si="41"/>
        <v> </v>
      </c>
      <c r="E403" s="31" t="str">
        <f>IF(D403=" "," ",($E$26-$B$3*($F$8))*((D403/($F$8))-($C$18/(PI()))*SIN((PI()*D403)/($F$8)))+$B$3*D403)</f>
        <v> </v>
      </c>
      <c r="F403" s="31" t="str">
        <f t="shared" si="45"/>
        <v> </v>
      </c>
      <c r="G403" s="31"/>
      <c r="H403" s="31" t="str">
        <f t="shared" si="42"/>
        <v> </v>
      </c>
      <c r="I403" s="31" t="str">
        <f>IF(H403=" "," ",($I$26-$D$3*$F$13)*((H403/$F$13)-($C$18/(PI()))*SIN((PI()*H403)/$F$13))+$D$3*H403)</f>
        <v> </v>
      </c>
      <c r="J403" s="31" t="str">
        <f t="shared" si="46"/>
        <v> </v>
      </c>
      <c r="K403" s="31" t="str">
        <f t="shared" si="43"/>
        <v> </v>
      </c>
      <c r="L403" s="31" t="str">
        <f>IF(K403=" "," ",($L$26-$D$3*$F$12)*((K403/$F$12)-($C$18/(PI()))*SIN((PI()*K403)/$F$12))+$D$3*K403)</f>
        <v> </v>
      </c>
      <c r="M403" s="31" t="str">
        <f t="shared" si="47"/>
        <v> </v>
      </c>
    </row>
    <row r="404" spans="1:13">
      <c r="A404" s="31" t="str">
        <f t="shared" si="40"/>
        <v> </v>
      </c>
      <c r="B404" s="31" t="str">
        <f>IF(A404=" "," ",($B$26-$B$3*($F$9))*((A404/($F$9))-($C$18/(PI()))*SIN((PI()*A404)/($F$9)))+$B$3*A404)</f>
        <v> </v>
      </c>
      <c r="C404" s="31" t="str">
        <f t="shared" si="44"/>
        <v> </v>
      </c>
      <c r="D404" s="31" t="str">
        <f t="shared" si="41"/>
        <v> </v>
      </c>
      <c r="E404" s="31" t="str">
        <f>IF(D404=" "," ",($E$26-$B$3*($F$8))*((D404/($F$8))-($C$18/(PI()))*SIN((PI()*D404)/($F$8)))+$B$3*D404)</f>
        <v> </v>
      </c>
      <c r="F404" s="31" t="str">
        <f t="shared" si="45"/>
        <v> </v>
      </c>
      <c r="G404" s="31"/>
      <c r="H404" s="31" t="str">
        <f t="shared" si="42"/>
        <v> </v>
      </c>
      <c r="I404" s="31" t="str">
        <f>IF(H404=" "," ",($I$26-$D$3*$F$13)*((H404/$F$13)-($C$18/(PI()))*SIN((PI()*H404)/$F$13))+$D$3*H404)</f>
        <v> </v>
      </c>
      <c r="J404" s="31" t="str">
        <f t="shared" si="46"/>
        <v> </v>
      </c>
      <c r="K404" s="31" t="str">
        <f t="shared" si="43"/>
        <v> </v>
      </c>
      <c r="L404" s="31" t="str">
        <f>IF(K404=" "," ",($L$26-$D$3*$F$12)*((K404/$F$12)-($C$18/(PI()))*SIN((PI()*K404)/$F$12))+$D$3*K404)</f>
        <v> </v>
      </c>
      <c r="M404" s="31" t="str">
        <f t="shared" si="47"/>
        <v> </v>
      </c>
    </row>
    <row r="405" spans="1:13">
      <c r="A405" s="31" t="str">
        <f t="shared" si="40"/>
        <v> </v>
      </c>
      <c r="B405" s="31" t="str">
        <f>IF(A405=" "," ",($B$26-$B$3*($F$9))*((A405/($F$9))-($C$18/(PI()))*SIN((PI()*A405)/($F$9)))+$B$3*A405)</f>
        <v> </v>
      </c>
      <c r="C405" s="31" t="str">
        <f t="shared" si="44"/>
        <v> </v>
      </c>
      <c r="D405" s="31" t="str">
        <f t="shared" si="41"/>
        <v> </v>
      </c>
      <c r="E405" s="31" t="str">
        <f>IF(D405=" "," ",($E$26-$B$3*($F$8))*((D405/($F$8))-($C$18/(PI()))*SIN((PI()*D405)/($F$8)))+$B$3*D405)</f>
        <v> </v>
      </c>
      <c r="F405" s="31" t="str">
        <f t="shared" si="45"/>
        <v> </v>
      </c>
      <c r="G405" s="31"/>
      <c r="H405" s="31" t="str">
        <f t="shared" si="42"/>
        <v> </v>
      </c>
      <c r="I405" s="31" t="str">
        <f>IF(H405=" "," ",($I$26-$D$3*$F$13)*((H405/$F$13)-($C$18/(PI()))*SIN((PI()*H405)/$F$13))+$D$3*H405)</f>
        <v> </v>
      </c>
      <c r="J405" s="31" t="str">
        <f t="shared" si="46"/>
        <v> </v>
      </c>
      <c r="K405" s="31" t="str">
        <f t="shared" si="43"/>
        <v> </v>
      </c>
      <c r="L405" s="31" t="str">
        <f>IF(K405=" "," ",($L$26-$D$3*$F$12)*((K405/$F$12)-($C$18/(PI()))*SIN((PI()*K405)/$F$12))+$D$3*K405)</f>
        <v> </v>
      </c>
      <c r="M405" s="31" t="str">
        <f t="shared" si="47"/>
        <v> </v>
      </c>
    </row>
    <row r="406" spans="1:13">
      <c r="A406" s="31" t="str">
        <f t="shared" si="40"/>
        <v> </v>
      </c>
      <c r="B406" s="31" t="str">
        <f>IF(A406=" "," ",($B$26-$B$3*($F$9))*((A406/($F$9))-($C$18/(PI()))*SIN((PI()*A406)/($F$9)))+$B$3*A406)</f>
        <v> </v>
      </c>
      <c r="C406" s="31" t="str">
        <f t="shared" si="44"/>
        <v> </v>
      </c>
      <c r="D406" s="31" t="str">
        <f t="shared" si="41"/>
        <v> </v>
      </c>
      <c r="E406" s="31" t="str">
        <f>IF(D406=" "," ",($E$26-$B$3*($F$8))*((D406/($F$8))-($C$18/(PI()))*SIN((PI()*D406)/($F$8)))+$B$3*D406)</f>
        <v> </v>
      </c>
      <c r="F406" s="31" t="str">
        <f t="shared" si="45"/>
        <v> </v>
      </c>
      <c r="G406" s="31"/>
      <c r="H406" s="31" t="str">
        <f t="shared" si="42"/>
        <v> </v>
      </c>
      <c r="I406" s="31" t="str">
        <f>IF(H406=" "," ",($I$26-$D$3*$F$13)*((H406/$F$13)-($C$18/(PI()))*SIN((PI()*H406)/$F$13))+$D$3*H406)</f>
        <v> </v>
      </c>
      <c r="J406" s="31" t="str">
        <f t="shared" si="46"/>
        <v> </v>
      </c>
      <c r="K406" s="31" t="str">
        <f t="shared" si="43"/>
        <v> </v>
      </c>
      <c r="L406" s="31" t="str">
        <f>IF(K406=" "," ",($L$26-$D$3*$F$12)*((K406/$F$12)-($C$18/(PI()))*SIN((PI()*K406)/$F$12))+$D$3*K406)</f>
        <v> </v>
      </c>
      <c r="M406" s="31" t="str">
        <f t="shared" si="47"/>
        <v> </v>
      </c>
    </row>
    <row r="407" spans="1:13">
      <c r="A407" s="31" t="str">
        <f t="shared" si="40"/>
        <v> </v>
      </c>
      <c r="B407" s="31" t="str">
        <f>IF(A407=" "," ",($B$26-$B$3*($F$9))*((A407/($F$9))-($C$18/(PI()))*SIN((PI()*A407)/($F$9)))+$B$3*A407)</f>
        <v> </v>
      </c>
      <c r="C407" s="31" t="str">
        <f t="shared" si="44"/>
        <v> </v>
      </c>
      <c r="D407" s="31" t="str">
        <f t="shared" si="41"/>
        <v> </v>
      </c>
      <c r="E407" s="31" t="str">
        <f>IF(D407=" "," ",($E$26-$B$3*($F$8))*((D407/($F$8))-($C$18/(PI()))*SIN((PI()*D407)/($F$8)))+$B$3*D407)</f>
        <v> </v>
      </c>
      <c r="F407" s="31" t="str">
        <f t="shared" si="45"/>
        <v> </v>
      </c>
      <c r="G407" s="31"/>
      <c r="H407" s="31" t="str">
        <f t="shared" si="42"/>
        <v> </v>
      </c>
      <c r="I407" s="31" t="str">
        <f>IF(H407=" "," ",($I$26-$D$3*$F$13)*((H407/$F$13)-($C$18/(PI()))*SIN((PI()*H407)/$F$13))+$D$3*H407)</f>
        <v> </v>
      </c>
      <c r="J407" s="31" t="str">
        <f t="shared" si="46"/>
        <v> </v>
      </c>
      <c r="K407" s="31" t="str">
        <f t="shared" si="43"/>
        <v> </v>
      </c>
      <c r="L407" s="31" t="str">
        <f>IF(K407=" "," ",($L$26-$D$3*$F$12)*((K407/$F$12)-($C$18/(PI()))*SIN((PI()*K407)/$F$12))+$D$3*K407)</f>
        <v> </v>
      </c>
      <c r="M407" s="31" t="str">
        <f t="shared" si="47"/>
        <v> </v>
      </c>
    </row>
    <row r="408" spans="1:13">
      <c r="A408" s="31" t="str">
        <f t="shared" si="40"/>
        <v> </v>
      </c>
      <c r="B408" s="31" t="str">
        <f>IF(A408=" "," ",($B$26-$B$3*($F$9))*((A408/($F$9))-($C$18/(PI()))*SIN((PI()*A408)/($F$9)))+$B$3*A408)</f>
        <v> </v>
      </c>
      <c r="C408" s="31" t="str">
        <f t="shared" si="44"/>
        <v> </v>
      </c>
      <c r="D408" s="31" t="str">
        <f t="shared" si="41"/>
        <v> </v>
      </c>
      <c r="E408" s="31" t="str">
        <f>IF(D408=" "," ",($E$26-$B$3*($F$8))*((D408/($F$8))-($C$18/(PI()))*SIN((PI()*D408)/($F$8)))+$B$3*D408)</f>
        <v> </v>
      </c>
      <c r="F408" s="31" t="str">
        <f t="shared" si="45"/>
        <v> </v>
      </c>
      <c r="G408" s="31"/>
      <c r="H408" s="31" t="str">
        <f t="shared" si="42"/>
        <v> </v>
      </c>
      <c r="I408" s="31" t="str">
        <f>IF(H408=" "," ",($I$26-$D$3*$F$13)*((H408/$F$13)-($C$18/(PI()))*SIN((PI()*H408)/$F$13))+$D$3*H408)</f>
        <v> </v>
      </c>
      <c r="J408" s="31" t="str">
        <f t="shared" si="46"/>
        <v> </v>
      </c>
      <c r="K408" s="31" t="str">
        <f t="shared" si="43"/>
        <v> </v>
      </c>
      <c r="L408" s="31" t="str">
        <f>IF(K408=" "," ",($L$26-$D$3*$F$12)*((K408/$F$12)-($C$18/(PI()))*SIN((PI()*K408)/$F$12))+$D$3*K408)</f>
        <v> </v>
      </c>
      <c r="M408" s="31" t="str">
        <f t="shared" si="47"/>
        <v> </v>
      </c>
    </row>
    <row r="409" spans="1:13">
      <c r="A409" s="31" t="str">
        <f t="shared" si="40"/>
        <v> </v>
      </c>
      <c r="B409" s="31" t="str">
        <f>IF(A409=" "," ",($B$26-$B$3*($F$9))*((A409/($F$9))-($C$18/(PI()))*SIN((PI()*A409)/($F$9)))+$B$3*A409)</f>
        <v> </v>
      </c>
      <c r="C409" s="31" t="str">
        <f t="shared" si="44"/>
        <v> </v>
      </c>
      <c r="D409" s="31" t="str">
        <f t="shared" si="41"/>
        <v> </v>
      </c>
      <c r="E409" s="31" t="str">
        <f>IF(D409=" "," ",($E$26-$B$3*($F$8))*((D409/($F$8))-($C$18/(PI()))*SIN((PI()*D409)/($F$8)))+$B$3*D409)</f>
        <v> </v>
      </c>
      <c r="F409" s="31" t="str">
        <f t="shared" si="45"/>
        <v> </v>
      </c>
      <c r="G409" s="31"/>
      <c r="H409" s="31" t="str">
        <f t="shared" si="42"/>
        <v> </v>
      </c>
      <c r="I409" s="31" t="str">
        <f>IF(H409=" "," ",($I$26-$D$3*$F$13)*((H409/$F$13)-($C$18/(PI()))*SIN((PI()*H409)/$F$13))+$D$3*H409)</f>
        <v> </v>
      </c>
      <c r="J409" s="31" t="str">
        <f t="shared" si="46"/>
        <v> </v>
      </c>
      <c r="K409" s="31" t="str">
        <f t="shared" si="43"/>
        <v> </v>
      </c>
      <c r="L409" s="31" t="str">
        <f>IF(K409=" "," ",($L$26-$D$3*$F$12)*((K409/$F$12)-($C$18/(PI()))*SIN((PI()*K409)/$F$12))+$D$3*K409)</f>
        <v> </v>
      </c>
      <c r="M409" s="31" t="str">
        <f t="shared" si="47"/>
        <v> </v>
      </c>
    </row>
    <row r="410" spans="1:13">
      <c r="A410" s="31" t="str">
        <f t="shared" si="40"/>
        <v> </v>
      </c>
      <c r="B410" s="31" t="str">
        <f>IF(A410=" "," ",($B$26-$B$3*($F$9))*((A410/($F$9))-($C$18/(PI()))*SIN((PI()*A410)/($F$9)))+$B$3*A410)</f>
        <v> </v>
      </c>
      <c r="C410" s="31" t="str">
        <f t="shared" si="44"/>
        <v> </v>
      </c>
      <c r="D410" s="31" t="str">
        <f t="shared" si="41"/>
        <v> </v>
      </c>
      <c r="E410" s="31" t="str">
        <f>IF(D410=" "," ",($E$26-$B$3*($F$8))*((D410/($F$8))-($C$18/(PI()))*SIN((PI()*D410)/($F$8)))+$B$3*D410)</f>
        <v> </v>
      </c>
      <c r="F410" s="31" t="str">
        <f t="shared" si="45"/>
        <v> </v>
      </c>
      <c r="G410" s="31"/>
      <c r="H410" s="31" t="str">
        <f t="shared" si="42"/>
        <v> </v>
      </c>
      <c r="I410" s="31" t="str">
        <f>IF(H410=" "," ",($I$26-$D$3*$F$13)*((H410/$F$13)-($C$18/(PI()))*SIN((PI()*H410)/$F$13))+$D$3*H410)</f>
        <v> </v>
      </c>
      <c r="J410" s="31" t="str">
        <f t="shared" si="46"/>
        <v> </v>
      </c>
      <c r="K410" s="31" t="str">
        <f t="shared" si="43"/>
        <v> </v>
      </c>
      <c r="L410" s="31" t="str">
        <f>IF(K410=" "," ",($L$26-$D$3*$F$12)*((K410/$F$12)-($C$18/(PI()))*SIN((PI()*K410)/$F$12))+$D$3*K410)</f>
        <v> </v>
      </c>
      <c r="M410" s="31" t="str">
        <f t="shared" si="47"/>
        <v> </v>
      </c>
    </row>
    <row r="411" spans="1:13">
      <c r="A411" s="31" t="str">
        <f t="shared" si="40"/>
        <v> </v>
      </c>
      <c r="B411" s="31" t="str">
        <f>IF(A411=" "," ",($B$26-$B$3*($F$9))*((A411/($F$9))-($C$18/(PI()))*SIN((PI()*A411)/($F$9)))+$B$3*A411)</f>
        <v> </v>
      </c>
      <c r="C411" s="31" t="str">
        <f t="shared" si="44"/>
        <v> </v>
      </c>
      <c r="D411" s="31" t="str">
        <f t="shared" si="41"/>
        <v> </v>
      </c>
      <c r="E411" s="31" t="str">
        <f>IF(D411=" "," ",($E$26-$B$3*($F$8))*((D411/($F$8))-($C$18/(PI()))*SIN((PI()*D411)/($F$8)))+$B$3*D411)</f>
        <v> </v>
      </c>
      <c r="F411" s="31" t="str">
        <f t="shared" si="45"/>
        <v> </v>
      </c>
      <c r="G411" s="31"/>
      <c r="H411" s="31" t="str">
        <f t="shared" si="42"/>
        <v> </v>
      </c>
      <c r="I411" s="31" t="str">
        <f>IF(H411=" "," ",($I$26-$D$3*$F$13)*((H411/$F$13)-($C$18/(PI()))*SIN((PI()*H411)/$F$13))+$D$3*H411)</f>
        <v> </v>
      </c>
      <c r="J411" s="31" t="str">
        <f t="shared" si="46"/>
        <v> </v>
      </c>
      <c r="K411" s="31" t="str">
        <f t="shared" si="43"/>
        <v> </v>
      </c>
      <c r="L411" s="31" t="str">
        <f>IF(K411=" "," ",($L$26-$D$3*$F$12)*((K411/$F$12)-($C$18/(PI()))*SIN((PI()*K411)/$F$12))+$D$3*K411)</f>
        <v> </v>
      </c>
      <c r="M411" s="31" t="str">
        <f t="shared" si="47"/>
        <v> </v>
      </c>
    </row>
    <row r="412" spans="1:13">
      <c r="A412" s="31" t="str">
        <f t="shared" si="40"/>
        <v> </v>
      </c>
      <c r="B412" s="31" t="str">
        <f>IF(A412=" "," ",($B$26-$B$3*($F$9))*((A412/($F$9))-($C$18/(PI()))*SIN((PI()*A412)/($F$9)))+$B$3*A412)</f>
        <v> </v>
      </c>
      <c r="C412" s="31" t="str">
        <f t="shared" si="44"/>
        <v> </v>
      </c>
      <c r="D412" s="31" t="str">
        <f t="shared" si="41"/>
        <v> </v>
      </c>
      <c r="E412" s="31" t="str">
        <f>IF(D412=" "," ",($E$26-$B$3*($F$8))*((D412/($F$8))-($C$18/(PI()))*SIN((PI()*D412)/($F$8)))+$B$3*D412)</f>
        <v> </v>
      </c>
      <c r="F412" s="31" t="str">
        <f t="shared" si="45"/>
        <v> </v>
      </c>
      <c r="G412" s="31"/>
      <c r="H412" s="31" t="str">
        <f t="shared" si="42"/>
        <v> </v>
      </c>
      <c r="I412" s="31" t="str">
        <f>IF(H412=" "," ",($I$26-$D$3*$F$13)*((H412/$F$13)-($C$18/(PI()))*SIN((PI()*H412)/$F$13))+$D$3*H412)</f>
        <v> </v>
      </c>
      <c r="J412" s="31" t="str">
        <f t="shared" si="46"/>
        <v> </v>
      </c>
      <c r="K412" s="31" t="str">
        <f t="shared" si="43"/>
        <v> </v>
      </c>
      <c r="L412" s="31" t="str">
        <f>IF(K412=" "," ",($L$26-$D$3*$F$12)*((K412/$F$12)-($C$18/(PI()))*SIN((PI()*K412)/$F$12))+$D$3*K412)</f>
        <v> </v>
      </c>
      <c r="M412" s="31" t="str">
        <f t="shared" si="47"/>
        <v> </v>
      </c>
    </row>
    <row r="413" spans="1:13">
      <c r="A413" s="31" t="str">
        <f t="shared" ref="A413:A476" si="48">IF(($F$9)-ROW(A385)&gt;=0,($F$9)-(($F$9)-ROW(A385))," ")</f>
        <v> </v>
      </c>
      <c r="B413" s="31" t="str">
        <f>IF(A413=" "," ",($B$26-$B$3*($F$9))*((A413/($F$9))-($C$18/(PI()))*SIN((PI()*A413)/($F$9)))+$B$3*A413)</f>
        <v> </v>
      </c>
      <c r="C413" s="31" t="str">
        <f t="shared" si="44"/>
        <v> </v>
      </c>
      <c r="D413" s="31" t="str">
        <f t="shared" ref="D413:D476" si="49">IF(($F$8)-ROW(D385)&gt;=0,($F$8)-(($F$8)-ROW(D385))," ")</f>
        <v> </v>
      </c>
      <c r="E413" s="31" t="str">
        <f>IF(D413=" "," ",($E$26-$B$3*($F$8))*((D413/($F$8))-($C$18/(PI()))*SIN((PI()*D413)/($F$8)))+$B$3*D413)</f>
        <v> </v>
      </c>
      <c r="F413" s="31" t="str">
        <f t="shared" si="45"/>
        <v> </v>
      </c>
      <c r="G413" s="31"/>
      <c r="H413" s="31" t="str">
        <f t="shared" ref="H413:H476" si="50">IF($F$13-ROW(H385)&gt;=0,$F$13-($F$13-ROW(H385))," ")</f>
        <v> </v>
      </c>
      <c r="I413" s="31" t="str">
        <f>IF(H413=" "," ",($I$26-$D$3*$F$13)*((H413/$F$13)-($C$18/(PI()))*SIN((PI()*H413)/$F$13))+$D$3*H413)</f>
        <v> </v>
      </c>
      <c r="J413" s="31" t="str">
        <f t="shared" si="46"/>
        <v> </v>
      </c>
      <c r="K413" s="31" t="str">
        <f t="shared" ref="K413:K476" si="51">IF($F$12-ROW(K385)&gt;=0,$F$12-($F$12-ROW(K385))," ")</f>
        <v> </v>
      </c>
      <c r="L413" s="31" t="str">
        <f>IF(K413=" "," ",($L$26-$D$3*$F$12)*((K413/$F$12)-($C$18/(PI()))*SIN((PI()*K413)/$F$12))+$D$3*K413)</f>
        <v> </v>
      </c>
      <c r="M413" s="31" t="str">
        <f t="shared" si="47"/>
        <v> </v>
      </c>
    </row>
    <row r="414" spans="1:13">
      <c r="A414" s="31" t="str">
        <f t="shared" si="48"/>
        <v> </v>
      </c>
      <c r="B414" s="31" t="str">
        <f>IF(A414=" "," ",($B$26-$B$3*($F$9))*((A414/($F$9))-($C$18/(PI()))*SIN((PI()*A414)/($F$9)))+$B$3*A414)</f>
        <v> </v>
      </c>
      <c r="C414" s="31" t="str">
        <f t="shared" ref="C414:C477" si="52">IF(A414=" "," ",(B414-B413)/(B413-B412))</f>
        <v> </v>
      </c>
      <c r="D414" s="31" t="str">
        <f t="shared" si="49"/>
        <v> </v>
      </c>
      <c r="E414" s="31" t="str">
        <f>IF(D414=" "," ",($E$26-$B$3*($F$8))*((D414/($F$8))-($C$18/(PI()))*SIN((PI()*D414)/($F$8)))+$B$3*D414)</f>
        <v> </v>
      </c>
      <c r="F414" s="31" t="str">
        <f t="shared" ref="F414:F477" si="53">IF(D414=" "," ",(E414-E413)/(E413-E412))</f>
        <v> </v>
      </c>
      <c r="G414" s="31"/>
      <c r="H414" s="31" t="str">
        <f t="shared" si="50"/>
        <v> </v>
      </c>
      <c r="I414" s="31" t="str">
        <f>IF(H414=" "," ",($I$26-$D$3*$F$13)*((H414/$F$13)-($C$18/(PI()))*SIN((PI()*H414)/$F$13))+$D$3*H414)</f>
        <v> </v>
      </c>
      <c r="J414" s="31" t="str">
        <f t="shared" ref="J414:J477" si="54">IF(H414=" "," ",(I414-I413)/(I413-I412))</f>
        <v> </v>
      </c>
      <c r="K414" s="31" t="str">
        <f t="shared" si="51"/>
        <v> </v>
      </c>
      <c r="L414" s="31" t="str">
        <f>IF(K414=" "," ",($L$26-$D$3*$F$12)*((K414/$F$12)-($C$18/(PI()))*SIN((PI()*K414)/$F$12))+$D$3*K414)</f>
        <v> </v>
      </c>
      <c r="M414" s="31" t="str">
        <f t="shared" ref="M414:M477" si="55">IF(K414=" "," ",(L414-L413)/(L413-L412))</f>
        <v> </v>
      </c>
    </row>
    <row r="415" spans="1:13">
      <c r="A415" s="31" t="str">
        <f t="shared" si="48"/>
        <v> </v>
      </c>
      <c r="B415" s="31" t="str">
        <f>IF(A415=" "," ",($B$26-$B$3*($F$9))*((A415/($F$9))-($C$18/(PI()))*SIN((PI()*A415)/($F$9)))+$B$3*A415)</f>
        <v> </v>
      </c>
      <c r="C415" s="31" t="str">
        <f t="shared" si="52"/>
        <v> </v>
      </c>
      <c r="D415" s="31" t="str">
        <f t="shared" si="49"/>
        <v> </v>
      </c>
      <c r="E415" s="31" t="str">
        <f>IF(D415=" "," ",($E$26-$B$3*($F$8))*((D415/($F$8))-($C$18/(PI()))*SIN((PI()*D415)/($F$8)))+$B$3*D415)</f>
        <v> </v>
      </c>
      <c r="F415" s="31" t="str">
        <f t="shared" si="53"/>
        <v> </v>
      </c>
      <c r="G415" s="31"/>
      <c r="H415" s="31" t="str">
        <f t="shared" si="50"/>
        <v> </v>
      </c>
      <c r="I415" s="31" t="str">
        <f>IF(H415=" "," ",($I$26-$D$3*$F$13)*((H415/$F$13)-($C$18/(PI()))*SIN((PI()*H415)/$F$13))+$D$3*H415)</f>
        <v> </v>
      </c>
      <c r="J415" s="31" t="str">
        <f t="shared" si="54"/>
        <v> </v>
      </c>
      <c r="K415" s="31" t="str">
        <f t="shared" si="51"/>
        <v> </v>
      </c>
      <c r="L415" s="31" t="str">
        <f>IF(K415=" "," ",($L$26-$D$3*$F$12)*((K415/$F$12)-($C$18/(PI()))*SIN((PI()*K415)/$F$12))+$D$3*K415)</f>
        <v> </v>
      </c>
      <c r="M415" s="31" t="str">
        <f t="shared" si="55"/>
        <v> </v>
      </c>
    </row>
    <row r="416" spans="1:13">
      <c r="A416" s="31" t="str">
        <f t="shared" si="48"/>
        <v> </v>
      </c>
      <c r="B416" s="31" t="str">
        <f>IF(A416=" "," ",($B$26-$B$3*($F$9))*((A416/($F$9))-($C$18/(PI()))*SIN((PI()*A416)/($F$9)))+$B$3*A416)</f>
        <v> </v>
      </c>
      <c r="C416" s="31" t="str">
        <f t="shared" si="52"/>
        <v> </v>
      </c>
      <c r="D416" s="31" t="str">
        <f t="shared" si="49"/>
        <v> </v>
      </c>
      <c r="E416" s="31" t="str">
        <f>IF(D416=" "," ",($E$26-$B$3*($F$8))*((D416/($F$8))-($C$18/(PI()))*SIN((PI()*D416)/($F$8)))+$B$3*D416)</f>
        <v> </v>
      </c>
      <c r="F416" s="31" t="str">
        <f t="shared" si="53"/>
        <v> </v>
      </c>
      <c r="G416" s="31"/>
      <c r="H416" s="31" t="str">
        <f t="shared" si="50"/>
        <v> </v>
      </c>
      <c r="I416" s="31" t="str">
        <f>IF(H416=" "," ",($I$26-$D$3*$F$13)*((H416/$F$13)-($C$18/(PI()))*SIN((PI()*H416)/$F$13))+$D$3*H416)</f>
        <v> </v>
      </c>
      <c r="J416" s="31" t="str">
        <f t="shared" si="54"/>
        <v> </v>
      </c>
      <c r="K416" s="31" t="str">
        <f t="shared" si="51"/>
        <v> </v>
      </c>
      <c r="L416" s="31" t="str">
        <f>IF(K416=" "," ",($L$26-$D$3*$F$12)*((K416/$F$12)-($C$18/(PI()))*SIN((PI()*K416)/$F$12))+$D$3*K416)</f>
        <v> </v>
      </c>
      <c r="M416" s="31" t="str">
        <f t="shared" si="55"/>
        <v> </v>
      </c>
    </row>
    <row r="417" spans="1:13">
      <c r="A417" s="31" t="str">
        <f t="shared" si="48"/>
        <v> </v>
      </c>
      <c r="B417" s="31" t="str">
        <f>IF(A417=" "," ",($B$26-$B$3*($F$9))*((A417/($F$9))-($C$18/(PI()))*SIN((PI()*A417)/($F$9)))+$B$3*A417)</f>
        <v> </v>
      </c>
      <c r="C417" s="31" t="str">
        <f t="shared" si="52"/>
        <v> </v>
      </c>
      <c r="D417" s="31" t="str">
        <f t="shared" si="49"/>
        <v> </v>
      </c>
      <c r="E417" s="31" t="str">
        <f>IF(D417=" "," ",($E$26-$B$3*($F$8))*((D417/($F$8))-($C$18/(PI()))*SIN((PI()*D417)/($F$8)))+$B$3*D417)</f>
        <v> </v>
      </c>
      <c r="F417" s="31" t="str">
        <f t="shared" si="53"/>
        <v> </v>
      </c>
      <c r="G417" s="31"/>
      <c r="H417" s="31" t="str">
        <f t="shared" si="50"/>
        <v> </v>
      </c>
      <c r="I417" s="31" t="str">
        <f>IF(H417=" "," ",($I$26-$D$3*$F$13)*((H417/$F$13)-($C$18/(PI()))*SIN((PI()*H417)/$F$13))+$D$3*H417)</f>
        <v> </v>
      </c>
      <c r="J417" s="31" t="str">
        <f t="shared" si="54"/>
        <v> </v>
      </c>
      <c r="K417" s="31" t="str">
        <f t="shared" si="51"/>
        <v> </v>
      </c>
      <c r="L417" s="31" t="str">
        <f>IF(K417=" "," ",($L$26-$D$3*$F$12)*((K417/$F$12)-($C$18/(PI()))*SIN((PI()*K417)/$F$12))+$D$3*K417)</f>
        <v> </v>
      </c>
      <c r="M417" s="31" t="str">
        <f t="shared" si="55"/>
        <v> </v>
      </c>
    </row>
    <row r="418" spans="1:13">
      <c r="A418" s="31" t="str">
        <f t="shared" si="48"/>
        <v> </v>
      </c>
      <c r="B418" s="31" t="str">
        <f>IF(A418=" "," ",($B$26-$B$3*($F$9))*((A418/($F$9))-($C$18/(PI()))*SIN((PI()*A418)/($F$9)))+$B$3*A418)</f>
        <v> </v>
      </c>
      <c r="C418" s="31" t="str">
        <f t="shared" si="52"/>
        <v> </v>
      </c>
      <c r="D418" s="31" t="str">
        <f t="shared" si="49"/>
        <v> </v>
      </c>
      <c r="E418" s="31" t="str">
        <f>IF(D418=" "," ",($E$26-$B$3*($F$8))*((D418/($F$8))-($C$18/(PI()))*SIN((PI()*D418)/($F$8)))+$B$3*D418)</f>
        <v> </v>
      </c>
      <c r="F418" s="31" t="str">
        <f t="shared" si="53"/>
        <v> </v>
      </c>
      <c r="G418" s="31"/>
      <c r="H418" s="31" t="str">
        <f t="shared" si="50"/>
        <v> </v>
      </c>
      <c r="I418" s="31" t="str">
        <f>IF(H418=" "," ",($I$26-$D$3*$F$13)*((H418/$F$13)-($C$18/(PI()))*SIN((PI()*H418)/$F$13))+$D$3*H418)</f>
        <v> </v>
      </c>
      <c r="J418" s="31" t="str">
        <f t="shared" si="54"/>
        <v> </v>
      </c>
      <c r="K418" s="31" t="str">
        <f t="shared" si="51"/>
        <v> </v>
      </c>
      <c r="L418" s="31" t="str">
        <f>IF(K418=" "," ",($L$26-$D$3*$F$12)*((K418/$F$12)-($C$18/(PI()))*SIN((PI()*K418)/$F$12))+$D$3*K418)</f>
        <v> </v>
      </c>
      <c r="M418" s="31" t="str">
        <f t="shared" si="55"/>
        <v> </v>
      </c>
    </row>
    <row r="419" spans="1:13">
      <c r="A419" s="31" t="str">
        <f t="shared" si="48"/>
        <v> </v>
      </c>
      <c r="B419" s="31" t="str">
        <f>IF(A419=" "," ",($B$26-$B$3*($F$9))*((A419/($F$9))-($C$18/(PI()))*SIN((PI()*A419)/($F$9)))+$B$3*A419)</f>
        <v> </v>
      </c>
      <c r="C419" s="31" t="str">
        <f t="shared" si="52"/>
        <v> </v>
      </c>
      <c r="D419" s="31" t="str">
        <f t="shared" si="49"/>
        <v> </v>
      </c>
      <c r="E419" s="31" t="str">
        <f>IF(D419=" "," ",($E$26-$B$3*($F$8))*((D419/($F$8))-($C$18/(PI()))*SIN((PI()*D419)/($F$8)))+$B$3*D419)</f>
        <v> </v>
      </c>
      <c r="F419" s="31" t="str">
        <f t="shared" si="53"/>
        <v> </v>
      </c>
      <c r="G419" s="31"/>
      <c r="H419" s="31" t="str">
        <f t="shared" si="50"/>
        <v> </v>
      </c>
      <c r="I419" s="31" t="str">
        <f>IF(H419=" "," ",($I$26-$D$3*$F$13)*((H419/$F$13)-($C$18/(PI()))*SIN((PI()*H419)/$F$13))+$D$3*H419)</f>
        <v> </v>
      </c>
      <c r="J419" s="31" t="str">
        <f t="shared" si="54"/>
        <v> </v>
      </c>
      <c r="K419" s="31" t="str">
        <f t="shared" si="51"/>
        <v> </v>
      </c>
      <c r="L419" s="31" t="str">
        <f>IF(K419=" "," ",($L$26-$D$3*$F$12)*((K419/$F$12)-($C$18/(PI()))*SIN((PI()*K419)/$F$12))+$D$3*K419)</f>
        <v> </v>
      </c>
      <c r="M419" s="31" t="str">
        <f t="shared" si="55"/>
        <v> </v>
      </c>
    </row>
    <row r="420" spans="1:13">
      <c r="A420" s="31" t="str">
        <f t="shared" si="48"/>
        <v> </v>
      </c>
      <c r="B420" s="31" t="str">
        <f>IF(A420=" "," ",($B$26-$B$3*($F$9))*((A420/($F$9))-($C$18/(PI()))*SIN((PI()*A420)/($F$9)))+$B$3*A420)</f>
        <v> </v>
      </c>
      <c r="C420" s="31" t="str">
        <f t="shared" si="52"/>
        <v> </v>
      </c>
      <c r="D420" s="31" t="str">
        <f t="shared" si="49"/>
        <v> </v>
      </c>
      <c r="E420" s="31" t="str">
        <f>IF(D420=" "," ",($E$26-$B$3*($F$8))*((D420/($F$8))-($C$18/(PI()))*SIN((PI()*D420)/($F$8)))+$B$3*D420)</f>
        <v> </v>
      </c>
      <c r="F420" s="31" t="str">
        <f t="shared" si="53"/>
        <v> </v>
      </c>
      <c r="G420" s="31"/>
      <c r="H420" s="31" t="str">
        <f t="shared" si="50"/>
        <v> </v>
      </c>
      <c r="I420" s="31" t="str">
        <f>IF(H420=" "," ",($I$26-$D$3*$F$13)*((H420/$F$13)-($C$18/(PI()))*SIN((PI()*H420)/$F$13))+$D$3*H420)</f>
        <v> </v>
      </c>
      <c r="J420" s="31" t="str">
        <f t="shared" si="54"/>
        <v> </v>
      </c>
      <c r="K420" s="31" t="str">
        <f t="shared" si="51"/>
        <v> </v>
      </c>
      <c r="L420" s="31" t="str">
        <f>IF(K420=" "," ",($L$26-$D$3*$F$12)*((K420/$F$12)-($C$18/(PI()))*SIN((PI()*K420)/$F$12))+$D$3*K420)</f>
        <v> </v>
      </c>
      <c r="M420" s="31" t="str">
        <f t="shared" si="55"/>
        <v> </v>
      </c>
    </row>
    <row r="421" spans="1:13">
      <c r="A421" s="31" t="str">
        <f t="shared" si="48"/>
        <v> </v>
      </c>
      <c r="B421" s="31" t="str">
        <f>IF(A421=" "," ",($B$26-$B$3*($F$9))*((A421/($F$9))-($C$18/(PI()))*SIN((PI()*A421)/($F$9)))+$B$3*A421)</f>
        <v> </v>
      </c>
      <c r="C421" s="31" t="str">
        <f t="shared" si="52"/>
        <v> </v>
      </c>
      <c r="D421" s="31" t="str">
        <f t="shared" si="49"/>
        <v> </v>
      </c>
      <c r="E421" s="31" t="str">
        <f>IF(D421=" "," ",($E$26-$B$3*($F$8))*((D421/($F$8))-($C$18/(PI()))*SIN((PI()*D421)/($F$8)))+$B$3*D421)</f>
        <v> </v>
      </c>
      <c r="F421" s="31" t="str">
        <f t="shared" si="53"/>
        <v> </v>
      </c>
      <c r="G421" s="31"/>
      <c r="H421" s="31" t="str">
        <f t="shared" si="50"/>
        <v> </v>
      </c>
      <c r="I421" s="31" t="str">
        <f>IF(H421=" "," ",($I$26-$D$3*$F$13)*((H421/$F$13)-($C$18/(PI()))*SIN((PI()*H421)/$F$13))+$D$3*H421)</f>
        <v> </v>
      </c>
      <c r="J421" s="31" t="str">
        <f t="shared" si="54"/>
        <v> </v>
      </c>
      <c r="K421" s="31" t="str">
        <f t="shared" si="51"/>
        <v> </v>
      </c>
      <c r="L421" s="31" t="str">
        <f>IF(K421=" "," ",($L$26-$D$3*$F$12)*((K421/$F$12)-($C$18/(PI()))*SIN((PI()*K421)/$F$12))+$D$3*K421)</f>
        <v> </v>
      </c>
      <c r="M421" s="31" t="str">
        <f t="shared" si="55"/>
        <v> </v>
      </c>
    </row>
    <row r="422" spans="1:13">
      <c r="A422" s="31" t="str">
        <f t="shared" si="48"/>
        <v> </v>
      </c>
      <c r="B422" s="31" t="str">
        <f>IF(A422=" "," ",($B$26-$B$3*($F$9))*((A422/($F$9))-($C$18/(PI()))*SIN((PI()*A422)/($F$9)))+$B$3*A422)</f>
        <v> </v>
      </c>
      <c r="C422" s="31" t="str">
        <f t="shared" si="52"/>
        <v> </v>
      </c>
      <c r="D422" s="31" t="str">
        <f t="shared" si="49"/>
        <v> </v>
      </c>
      <c r="E422" s="31" t="str">
        <f>IF(D422=" "," ",($E$26-$B$3*($F$8))*((D422/($F$8))-($C$18/(PI()))*SIN((PI()*D422)/($F$8)))+$B$3*D422)</f>
        <v> </v>
      </c>
      <c r="F422" s="31" t="str">
        <f t="shared" si="53"/>
        <v> </v>
      </c>
      <c r="G422" s="31"/>
      <c r="H422" s="31" t="str">
        <f t="shared" si="50"/>
        <v> </v>
      </c>
      <c r="I422" s="31" t="str">
        <f>IF(H422=" "," ",($I$26-$D$3*$F$13)*((H422/$F$13)-($C$18/(PI()))*SIN((PI()*H422)/$F$13))+$D$3*H422)</f>
        <v> </v>
      </c>
      <c r="J422" s="31" t="str">
        <f t="shared" si="54"/>
        <v> </v>
      </c>
      <c r="K422" s="31" t="str">
        <f t="shared" si="51"/>
        <v> </v>
      </c>
      <c r="L422" s="31" t="str">
        <f>IF(K422=" "," ",($L$26-$D$3*$F$12)*((K422/$F$12)-($C$18/(PI()))*SIN((PI()*K422)/$F$12))+$D$3*K422)</f>
        <v> </v>
      </c>
      <c r="M422" s="31" t="str">
        <f t="shared" si="55"/>
        <v> </v>
      </c>
    </row>
    <row r="423" spans="1:13">
      <c r="A423" s="31" t="str">
        <f t="shared" si="48"/>
        <v> </v>
      </c>
      <c r="B423" s="31" t="str">
        <f>IF(A423=" "," ",($B$26-$B$3*($F$9))*((A423/($F$9))-($C$18/(PI()))*SIN((PI()*A423)/($F$9)))+$B$3*A423)</f>
        <v> </v>
      </c>
      <c r="C423" s="31" t="str">
        <f t="shared" si="52"/>
        <v> </v>
      </c>
      <c r="D423" s="31" t="str">
        <f t="shared" si="49"/>
        <v> </v>
      </c>
      <c r="E423" s="31" t="str">
        <f>IF(D423=" "," ",($E$26-$B$3*($F$8))*((D423/($F$8))-($C$18/(PI()))*SIN((PI()*D423)/($F$8)))+$B$3*D423)</f>
        <v> </v>
      </c>
      <c r="F423" s="31" t="str">
        <f t="shared" si="53"/>
        <v> </v>
      </c>
      <c r="G423" s="31"/>
      <c r="H423" s="31" t="str">
        <f t="shared" si="50"/>
        <v> </v>
      </c>
      <c r="I423" s="31" t="str">
        <f>IF(H423=" "," ",($I$26-$D$3*$F$13)*((H423/$F$13)-($C$18/(PI()))*SIN((PI()*H423)/$F$13))+$D$3*H423)</f>
        <v> </v>
      </c>
      <c r="J423" s="31" t="str">
        <f t="shared" si="54"/>
        <v> </v>
      </c>
      <c r="K423" s="31" t="str">
        <f t="shared" si="51"/>
        <v> </v>
      </c>
      <c r="L423" s="31" t="str">
        <f>IF(K423=" "," ",($L$26-$D$3*$F$12)*((K423/$F$12)-($C$18/(PI()))*SIN((PI()*K423)/$F$12))+$D$3*K423)</f>
        <v> </v>
      </c>
      <c r="M423" s="31" t="str">
        <f t="shared" si="55"/>
        <v> </v>
      </c>
    </row>
    <row r="424" spans="1:13">
      <c r="A424" s="31" t="str">
        <f t="shared" si="48"/>
        <v> </v>
      </c>
      <c r="B424" s="31" t="str">
        <f>IF(A424=" "," ",($B$26-$B$3*($F$9))*((A424/($F$9))-($C$18/(PI()))*SIN((PI()*A424)/($F$9)))+$B$3*A424)</f>
        <v> </v>
      </c>
      <c r="C424" s="31" t="str">
        <f t="shared" si="52"/>
        <v> </v>
      </c>
      <c r="D424" s="31" t="str">
        <f t="shared" si="49"/>
        <v> </v>
      </c>
      <c r="E424" s="31" t="str">
        <f>IF(D424=" "," ",($E$26-$B$3*($F$8))*((D424/($F$8))-($C$18/(PI()))*SIN((PI()*D424)/($F$8)))+$B$3*D424)</f>
        <v> </v>
      </c>
      <c r="F424" s="31" t="str">
        <f t="shared" si="53"/>
        <v> </v>
      </c>
      <c r="G424" s="31"/>
      <c r="H424" s="31" t="str">
        <f t="shared" si="50"/>
        <v> </v>
      </c>
      <c r="I424" s="31" t="str">
        <f>IF(H424=" "," ",($I$26-$D$3*$F$13)*((H424/$F$13)-($C$18/(PI()))*SIN((PI()*H424)/$F$13))+$D$3*H424)</f>
        <v> </v>
      </c>
      <c r="J424" s="31" t="str">
        <f t="shared" si="54"/>
        <v> </v>
      </c>
      <c r="K424" s="31" t="str">
        <f t="shared" si="51"/>
        <v> </v>
      </c>
      <c r="L424" s="31" t="str">
        <f>IF(K424=" "," ",($L$26-$D$3*$F$12)*((K424/$F$12)-($C$18/(PI()))*SIN((PI()*K424)/$F$12))+$D$3*K424)</f>
        <v> </v>
      </c>
      <c r="M424" s="31" t="str">
        <f t="shared" si="55"/>
        <v> </v>
      </c>
    </row>
    <row r="425" spans="1:13">
      <c r="A425" s="31" t="str">
        <f t="shared" si="48"/>
        <v> </v>
      </c>
      <c r="B425" s="31" t="str">
        <f>IF(A425=" "," ",($B$26-$B$3*($F$9))*((A425/($F$9))-($C$18/(PI()))*SIN((PI()*A425)/($F$9)))+$B$3*A425)</f>
        <v> </v>
      </c>
      <c r="C425" s="31" t="str">
        <f t="shared" si="52"/>
        <v> </v>
      </c>
      <c r="D425" s="31" t="str">
        <f t="shared" si="49"/>
        <v> </v>
      </c>
      <c r="E425" s="31" t="str">
        <f>IF(D425=" "," ",($E$26-$B$3*($F$8))*((D425/($F$8))-($C$18/(PI()))*SIN((PI()*D425)/($F$8)))+$B$3*D425)</f>
        <v> </v>
      </c>
      <c r="F425" s="31" t="str">
        <f t="shared" si="53"/>
        <v> </v>
      </c>
      <c r="G425" s="31"/>
      <c r="H425" s="31" t="str">
        <f t="shared" si="50"/>
        <v> </v>
      </c>
      <c r="I425" s="31" t="str">
        <f>IF(H425=" "," ",($I$26-$D$3*$F$13)*((H425/$F$13)-($C$18/(PI()))*SIN((PI()*H425)/$F$13))+$D$3*H425)</f>
        <v> </v>
      </c>
      <c r="J425" s="31" t="str">
        <f t="shared" si="54"/>
        <v> </v>
      </c>
      <c r="K425" s="31" t="str">
        <f t="shared" si="51"/>
        <v> </v>
      </c>
      <c r="L425" s="31" t="str">
        <f>IF(K425=" "," ",($L$26-$D$3*$F$12)*((K425/$F$12)-($C$18/(PI()))*SIN((PI()*K425)/$F$12))+$D$3*K425)</f>
        <v> </v>
      </c>
      <c r="M425" s="31" t="str">
        <f t="shared" si="55"/>
        <v> </v>
      </c>
    </row>
    <row r="426" spans="1:13">
      <c r="A426" s="31" t="str">
        <f t="shared" si="48"/>
        <v> </v>
      </c>
      <c r="B426" s="31" t="str">
        <f>IF(A426=" "," ",($B$26-$B$3*($F$9))*((A426/($F$9))-($C$18/(PI()))*SIN((PI()*A426)/($F$9)))+$B$3*A426)</f>
        <v> </v>
      </c>
      <c r="C426" s="31" t="str">
        <f t="shared" si="52"/>
        <v> </v>
      </c>
      <c r="D426" s="31" t="str">
        <f t="shared" si="49"/>
        <v> </v>
      </c>
      <c r="E426" s="31" t="str">
        <f>IF(D426=" "," ",($E$26-$B$3*($F$8))*((D426/($F$8))-($C$18/(PI()))*SIN((PI()*D426)/($F$8)))+$B$3*D426)</f>
        <v> </v>
      </c>
      <c r="F426" s="31" t="str">
        <f t="shared" si="53"/>
        <v> </v>
      </c>
      <c r="G426" s="31"/>
      <c r="H426" s="31" t="str">
        <f t="shared" si="50"/>
        <v> </v>
      </c>
      <c r="I426" s="31" t="str">
        <f>IF(H426=" "," ",($I$26-$D$3*$F$13)*((H426/$F$13)-($C$18/(PI()))*SIN((PI()*H426)/$F$13))+$D$3*H426)</f>
        <v> </v>
      </c>
      <c r="J426" s="31" t="str">
        <f t="shared" si="54"/>
        <v> </v>
      </c>
      <c r="K426" s="31" t="str">
        <f t="shared" si="51"/>
        <v> </v>
      </c>
      <c r="L426" s="31" t="str">
        <f>IF(K426=" "," ",($L$26-$D$3*$F$12)*((K426/$F$12)-($C$18/(PI()))*SIN((PI()*K426)/$F$12))+$D$3*K426)</f>
        <v> </v>
      </c>
      <c r="M426" s="31" t="str">
        <f t="shared" si="55"/>
        <v> </v>
      </c>
    </row>
    <row r="427" spans="1:13">
      <c r="A427" s="31" t="str">
        <f t="shared" si="48"/>
        <v> </v>
      </c>
      <c r="B427" s="31" t="str">
        <f>IF(A427=" "," ",($B$26-$B$3*($F$9))*((A427/($F$9))-($C$18/(PI()))*SIN((PI()*A427)/($F$9)))+$B$3*A427)</f>
        <v> </v>
      </c>
      <c r="C427" s="31" t="str">
        <f t="shared" si="52"/>
        <v> </v>
      </c>
      <c r="D427" s="31" t="str">
        <f t="shared" si="49"/>
        <v> </v>
      </c>
      <c r="E427" s="31" t="str">
        <f>IF(D427=" "," ",($E$26-$B$3*($F$8))*((D427/($F$8))-($C$18/(PI()))*SIN((PI()*D427)/($F$8)))+$B$3*D427)</f>
        <v> </v>
      </c>
      <c r="F427" s="31" t="str">
        <f t="shared" si="53"/>
        <v> </v>
      </c>
      <c r="G427" s="31"/>
      <c r="H427" s="31" t="str">
        <f t="shared" si="50"/>
        <v> </v>
      </c>
      <c r="I427" s="31" t="str">
        <f>IF(H427=" "," ",($I$26-$D$3*$F$13)*((H427/$F$13)-($C$18/(PI()))*SIN((PI()*H427)/$F$13))+$D$3*H427)</f>
        <v> </v>
      </c>
      <c r="J427" s="31" t="str">
        <f t="shared" si="54"/>
        <v> </v>
      </c>
      <c r="K427" s="31" t="str">
        <f t="shared" si="51"/>
        <v> </v>
      </c>
      <c r="L427" s="31" t="str">
        <f>IF(K427=" "," ",($L$26-$D$3*$F$12)*((K427/$F$12)-($C$18/(PI()))*SIN((PI()*K427)/$F$12))+$D$3*K427)</f>
        <v> </v>
      </c>
      <c r="M427" s="31" t="str">
        <f t="shared" si="55"/>
        <v> </v>
      </c>
    </row>
    <row r="428" spans="1:13">
      <c r="A428" s="31" t="str">
        <f t="shared" si="48"/>
        <v> </v>
      </c>
      <c r="B428" s="31" t="str">
        <f>IF(A428=" "," ",($B$26-$B$3*($F$9))*((A428/($F$9))-($C$18/(PI()))*SIN((PI()*A428)/($F$9)))+$B$3*A428)</f>
        <v> </v>
      </c>
      <c r="C428" s="31" t="str">
        <f t="shared" si="52"/>
        <v> </v>
      </c>
      <c r="D428" s="31" t="str">
        <f t="shared" si="49"/>
        <v> </v>
      </c>
      <c r="E428" s="31" t="str">
        <f>IF(D428=" "," ",($E$26-$B$3*($F$8))*((D428/($F$8))-($C$18/(PI()))*SIN((PI()*D428)/($F$8)))+$B$3*D428)</f>
        <v> </v>
      </c>
      <c r="F428" s="31" t="str">
        <f t="shared" si="53"/>
        <v> </v>
      </c>
      <c r="G428" s="31"/>
      <c r="H428" s="31" t="str">
        <f t="shared" si="50"/>
        <v> </v>
      </c>
      <c r="I428" s="31" t="str">
        <f>IF(H428=" "," ",($I$26-$D$3*$F$13)*((H428/$F$13)-($C$18/(PI()))*SIN((PI()*H428)/$F$13))+$D$3*H428)</f>
        <v> </v>
      </c>
      <c r="J428" s="31" t="str">
        <f t="shared" si="54"/>
        <v> </v>
      </c>
      <c r="K428" s="31" t="str">
        <f t="shared" si="51"/>
        <v> </v>
      </c>
      <c r="L428" s="31" t="str">
        <f>IF(K428=" "," ",($L$26-$D$3*$F$12)*((K428/$F$12)-($C$18/(PI()))*SIN((PI()*K428)/$F$12))+$D$3*K428)</f>
        <v> </v>
      </c>
      <c r="M428" s="31" t="str">
        <f t="shared" si="55"/>
        <v> </v>
      </c>
    </row>
    <row r="429" spans="1:13">
      <c r="A429" s="31" t="str">
        <f t="shared" si="48"/>
        <v> </v>
      </c>
      <c r="B429" s="31" t="str">
        <f>IF(A429=" "," ",($B$26-$B$3*($F$9))*((A429/($F$9))-($C$18/(PI()))*SIN((PI()*A429)/($F$9)))+$B$3*A429)</f>
        <v> </v>
      </c>
      <c r="C429" s="31" t="str">
        <f t="shared" si="52"/>
        <v> </v>
      </c>
      <c r="D429" s="31" t="str">
        <f t="shared" si="49"/>
        <v> </v>
      </c>
      <c r="E429" s="31" t="str">
        <f>IF(D429=" "," ",($E$26-$B$3*($F$8))*((D429/($F$8))-($C$18/(PI()))*SIN((PI()*D429)/($F$8)))+$B$3*D429)</f>
        <v> </v>
      </c>
      <c r="F429" s="31" t="str">
        <f t="shared" si="53"/>
        <v> </v>
      </c>
      <c r="G429" s="31"/>
      <c r="H429" s="31" t="str">
        <f t="shared" si="50"/>
        <v> </v>
      </c>
      <c r="I429" s="31" t="str">
        <f>IF(H429=" "," ",($I$26-$D$3*$F$13)*((H429/$F$13)-($C$18/(PI()))*SIN((PI()*H429)/$F$13))+$D$3*H429)</f>
        <v> </v>
      </c>
      <c r="J429" s="31" t="str">
        <f t="shared" si="54"/>
        <v> </v>
      </c>
      <c r="K429" s="31" t="str">
        <f t="shared" si="51"/>
        <v> </v>
      </c>
      <c r="L429" s="31" t="str">
        <f>IF(K429=" "," ",($L$26-$D$3*$F$12)*((K429/$F$12)-($C$18/(PI()))*SIN((PI()*K429)/$F$12))+$D$3*K429)</f>
        <v> </v>
      </c>
      <c r="M429" s="31" t="str">
        <f t="shared" si="55"/>
        <v> </v>
      </c>
    </row>
    <row r="430" spans="1:13">
      <c r="A430" s="31" t="str">
        <f t="shared" si="48"/>
        <v> </v>
      </c>
      <c r="B430" s="31" t="str">
        <f>IF(A430=" "," ",($B$26-$B$3*($F$9))*((A430/($F$9))-($C$18/(PI()))*SIN((PI()*A430)/($F$9)))+$B$3*A430)</f>
        <v> </v>
      </c>
      <c r="C430" s="31" t="str">
        <f t="shared" si="52"/>
        <v> </v>
      </c>
      <c r="D430" s="31" t="str">
        <f t="shared" si="49"/>
        <v> </v>
      </c>
      <c r="E430" s="31" t="str">
        <f>IF(D430=" "," ",($E$26-$B$3*($F$8))*((D430/($F$8))-($C$18/(PI()))*SIN((PI()*D430)/($F$8)))+$B$3*D430)</f>
        <v> </v>
      </c>
      <c r="F430" s="31" t="str">
        <f t="shared" si="53"/>
        <v> </v>
      </c>
      <c r="G430" s="31"/>
      <c r="H430" s="31" t="str">
        <f t="shared" si="50"/>
        <v> </v>
      </c>
      <c r="I430" s="31" t="str">
        <f>IF(H430=" "," ",($I$26-$D$3*$F$13)*((H430/$F$13)-($C$18/(PI()))*SIN((PI()*H430)/$F$13))+$D$3*H430)</f>
        <v> </v>
      </c>
      <c r="J430" s="31" t="str">
        <f t="shared" si="54"/>
        <v> </v>
      </c>
      <c r="K430" s="31" t="str">
        <f t="shared" si="51"/>
        <v> </v>
      </c>
      <c r="L430" s="31" t="str">
        <f>IF(K430=" "," ",($L$26-$D$3*$F$12)*((K430/$F$12)-($C$18/(PI()))*SIN((PI()*K430)/$F$12))+$D$3*K430)</f>
        <v> </v>
      </c>
      <c r="M430" s="31" t="str">
        <f t="shared" si="55"/>
        <v> </v>
      </c>
    </row>
    <row r="431" spans="1:13">
      <c r="A431" s="31" t="str">
        <f t="shared" si="48"/>
        <v> </v>
      </c>
      <c r="B431" s="31" t="str">
        <f>IF(A431=" "," ",($B$26-$B$3*($F$9))*((A431/($F$9))-($C$18/(PI()))*SIN((PI()*A431)/($F$9)))+$B$3*A431)</f>
        <v> </v>
      </c>
      <c r="C431" s="31" t="str">
        <f t="shared" si="52"/>
        <v> </v>
      </c>
      <c r="D431" s="31" t="str">
        <f t="shared" si="49"/>
        <v> </v>
      </c>
      <c r="E431" s="31" t="str">
        <f>IF(D431=" "," ",($E$26-$B$3*($F$8))*((D431/($F$8))-($C$18/(PI()))*SIN((PI()*D431)/($F$8)))+$B$3*D431)</f>
        <v> </v>
      </c>
      <c r="F431" s="31" t="str">
        <f t="shared" si="53"/>
        <v> </v>
      </c>
      <c r="G431" s="31"/>
      <c r="H431" s="31" t="str">
        <f t="shared" si="50"/>
        <v> </v>
      </c>
      <c r="I431" s="31" t="str">
        <f>IF(H431=" "," ",($I$26-$D$3*$F$13)*((H431/$F$13)-($C$18/(PI()))*SIN((PI()*H431)/$F$13))+$D$3*H431)</f>
        <v> </v>
      </c>
      <c r="J431" s="31" t="str">
        <f t="shared" si="54"/>
        <v> </v>
      </c>
      <c r="K431" s="31" t="str">
        <f t="shared" si="51"/>
        <v> </v>
      </c>
      <c r="L431" s="31" t="str">
        <f>IF(K431=" "," ",($L$26-$D$3*$F$12)*((K431/$F$12)-($C$18/(PI()))*SIN((PI()*K431)/$F$12))+$D$3*K431)</f>
        <v> </v>
      </c>
      <c r="M431" s="31" t="str">
        <f t="shared" si="55"/>
        <v> </v>
      </c>
    </row>
    <row r="432" spans="1:13">
      <c r="A432" s="31" t="str">
        <f t="shared" si="48"/>
        <v> </v>
      </c>
      <c r="B432" s="31" t="str">
        <f>IF(A432=" "," ",($B$26-$B$3*($F$9))*((A432/($F$9))-($C$18/(PI()))*SIN((PI()*A432)/($F$9)))+$B$3*A432)</f>
        <v> </v>
      </c>
      <c r="C432" s="31" t="str">
        <f t="shared" si="52"/>
        <v> </v>
      </c>
      <c r="D432" s="31" t="str">
        <f t="shared" si="49"/>
        <v> </v>
      </c>
      <c r="E432" s="31" t="str">
        <f>IF(D432=" "," ",($E$26-$B$3*($F$8))*((D432/($F$8))-($C$18/(PI()))*SIN((PI()*D432)/($F$8)))+$B$3*D432)</f>
        <v> </v>
      </c>
      <c r="F432" s="31" t="str">
        <f t="shared" si="53"/>
        <v> </v>
      </c>
      <c r="G432" s="31"/>
      <c r="H432" s="31" t="str">
        <f t="shared" si="50"/>
        <v> </v>
      </c>
      <c r="I432" s="31" t="str">
        <f>IF(H432=" "," ",($I$26-$D$3*$F$13)*((H432/$F$13)-($C$18/(PI()))*SIN((PI()*H432)/$F$13))+$D$3*H432)</f>
        <v> </v>
      </c>
      <c r="J432" s="31" t="str">
        <f t="shared" si="54"/>
        <v> </v>
      </c>
      <c r="K432" s="31" t="str">
        <f t="shared" si="51"/>
        <v> </v>
      </c>
      <c r="L432" s="31" t="str">
        <f>IF(K432=" "," ",($L$26-$D$3*$F$12)*((K432/$F$12)-($C$18/(PI()))*SIN((PI()*K432)/$F$12))+$D$3*K432)</f>
        <v> </v>
      </c>
      <c r="M432" s="31" t="str">
        <f t="shared" si="55"/>
        <v> </v>
      </c>
    </row>
    <row r="433" spans="1:13">
      <c r="A433" s="31" t="str">
        <f t="shared" si="48"/>
        <v> </v>
      </c>
      <c r="B433" s="31" t="str">
        <f>IF(A433=" "," ",($B$26-$B$3*($F$9))*((A433/($F$9))-($C$18/(PI()))*SIN((PI()*A433)/($F$9)))+$B$3*A433)</f>
        <v> </v>
      </c>
      <c r="C433" s="31" t="str">
        <f t="shared" si="52"/>
        <v> </v>
      </c>
      <c r="D433" s="31" t="str">
        <f t="shared" si="49"/>
        <v> </v>
      </c>
      <c r="E433" s="31" t="str">
        <f>IF(D433=" "," ",($E$26-$B$3*($F$8))*((D433/($F$8))-($C$18/(PI()))*SIN((PI()*D433)/($F$8)))+$B$3*D433)</f>
        <v> </v>
      </c>
      <c r="F433" s="31" t="str">
        <f t="shared" si="53"/>
        <v> </v>
      </c>
      <c r="G433" s="31"/>
      <c r="H433" s="31" t="str">
        <f t="shared" si="50"/>
        <v> </v>
      </c>
      <c r="I433" s="31" t="str">
        <f>IF(H433=" "," ",($I$26-$D$3*$F$13)*((H433/$F$13)-($C$18/(PI()))*SIN((PI()*H433)/$F$13))+$D$3*H433)</f>
        <v> </v>
      </c>
      <c r="J433" s="31" t="str">
        <f t="shared" si="54"/>
        <v> </v>
      </c>
      <c r="K433" s="31" t="str">
        <f t="shared" si="51"/>
        <v> </v>
      </c>
      <c r="L433" s="31" t="str">
        <f>IF(K433=" "," ",($L$26-$D$3*$F$12)*((K433/$F$12)-($C$18/(PI()))*SIN((PI()*K433)/$F$12))+$D$3*K433)</f>
        <v> </v>
      </c>
      <c r="M433" s="31" t="str">
        <f t="shared" si="55"/>
        <v> </v>
      </c>
    </row>
    <row r="434" spans="1:13">
      <c r="A434" s="31" t="str">
        <f t="shared" si="48"/>
        <v> </v>
      </c>
      <c r="B434" s="31" t="str">
        <f>IF(A434=" "," ",($B$26-$B$3*($F$9))*((A434/($F$9))-($C$18/(PI()))*SIN((PI()*A434)/($F$9)))+$B$3*A434)</f>
        <v> </v>
      </c>
      <c r="C434" s="31" t="str">
        <f t="shared" si="52"/>
        <v> </v>
      </c>
      <c r="D434" s="31" t="str">
        <f t="shared" si="49"/>
        <v> </v>
      </c>
      <c r="E434" s="31" t="str">
        <f>IF(D434=" "," ",($E$26-$B$3*($F$8))*((D434/($F$8))-($C$18/(PI()))*SIN((PI()*D434)/($F$8)))+$B$3*D434)</f>
        <v> </v>
      </c>
      <c r="F434" s="31" t="str">
        <f t="shared" si="53"/>
        <v> </v>
      </c>
      <c r="G434" s="31"/>
      <c r="H434" s="31" t="str">
        <f t="shared" si="50"/>
        <v> </v>
      </c>
      <c r="I434" s="31" t="str">
        <f>IF(H434=" "," ",($I$26-$D$3*$F$13)*((H434/$F$13)-($C$18/(PI()))*SIN((PI()*H434)/$F$13))+$D$3*H434)</f>
        <v> </v>
      </c>
      <c r="J434" s="31" t="str">
        <f t="shared" si="54"/>
        <v> </v>
      </c>
      <c r="K434" s="31" t="str">
        <f t="shared" si="51"/>
        <v> </v>
      </c>
      <c r="L434" s="31" t="str">
        <f>IF(K434=" "," ",($L$26-$D$3*$F$12)*((K434/$F$12)-($C$18/(PI()))*SIN((PI()*K434)/$F$12))+$D$3*K434)</f>
        <v> </v>
      </c>
      <c r="M434" s="31" t="str">
        <f t="shared" si="55"/>
        <v> </v>
      </c>
    </row>
    <row r="435" spans="1:13">
      <c r="A435" s="31" t="str">
        <f t="shared" si="48"/>
        <v> </v>
      </c>
      <c r="B435" s="31" t="str">
        <f>IF(A435=" "," ",($B$26-$B$3*($F$9))*((A435/($F$9))-($C$18/(PI()))*SIN((PI()*A435)/($F$9)))+$B$3*A435)</f>
        <v> </v>
      </c>
      <c r="C435" s="31" t="str">
        <f t="shared" si="52"/>
        <v> </v>
      </c>
      <c r="D435" s="31" t="str">
        <f t="shared" si="49"/>
        <v> </v>
      </c>
      <c r="E435" s="31" t="str">
        <f>IF(D435=" "," ",($E$26-$B$3*($F$8))*((D435/($F$8))-($C$18/(PI()))*SIN((PI()*D435)/($F$8)))+$B$3*D435)</f>
        <v> </v>
      </c>
      <c r="F435" s="31" t="str">
        <f t="shared" si="53"/>
        <v> </v>
      </c>
      <c r="G435" s="31"/>
      <c r="H435" s="31" t="str">
        <f t="shared" si="50"/>
        <v> </v>
      </c>
      <c r="I435" s="31" t="str">
        <f>IF(H435=" "," ",($I$26-$D$3*$F$13)*((H435/$F$13)-($C$18/(PI()))*SIN((PI()*H435)/$F$13))+$D$3*H435)</f>
        <v> </v>
      </c>
      <c r="J435" s="31" t="str">
        <f t="shared" si="54"/>
        <v> </v>
      </c>
      <c r="K435" s="31" t="str">
        <f t="shared" si="51"/>
        <v> </v>
      </c>
      <c r="L435" s="31" t="str">
        <f>IF(K435=" "," ",($L$26-$D$3*$F$12)*((K435/$F$12)-($C$18/(PI()))*SIN((PI()*K435)/$F$12))+$D$3*K435)</f>
        <v> </v>
      </c>
      <c r="M435" s="31" t="str">
        <f t="shared" si="55"/>
        <v> </v>
      </c>
    </row>
    <row r="436" spans="1:13">
      <c r="A436" s="31" t="str">
        <f t="shared" si="48"/>
        <v> </v>
      </c>
      <c r="B436" s="31" t="str">
        <f>IF(A436=" "," ",($B$26-$B$3*($F$9))*((A436/($F$9))-($C$18/(PI()))*SIN((PI()*A436)/($F$9)))+$B$3*A436)</f>
        <v> </v>
      </c>
      <c r="C436" s="31" t="str">
        <f t="shared" si="52"/>
        <v> </v>
      </c>
      <c r="D436" s="31" t="str">
        <f t="shared" si="49"/>
        <v> </v>
      </c>
      <c r="E436" s="31" t="str">
        <f>IF(D436=" "," ",($E$26-$B$3*($F$8))*((D436/($F$8))-($C$18/(PI()))*SIN((PI()*D436)/($F$8)))+$B$3*D436)</f>
        <v> </v>
      </c>
      <c r="F436" s="31" t="str">
        <f t="shared" si="53"/>
        <v> </v>
      </c>
      <c r="G436" s="31"/>
      <c r="H436" s="31" t="str">
        <f t="shared" si="50"/>
        <v> </v>
      </c>
      <c r="I436" s="31" t="str">
        <f>IF(H436=" "," ",($I$26-$D$3*$F$13)*((H436/$F$13)-($C$18/(PI()))*SIN((PI()*H436)/$F$13))+$D$3*H436)</f>
        <v> </v>
      </c>
      <c r="J436" s="31" t="str">
        <f t="shared" si="54"/>
        <v> </v>
      </c>
      <c r="K436" s="31" t="str">
        <f t="shared" si="51"/>
        <v> </v>
      </c>
      <c r="L436" s="31" t="str">
        <f>IF(K436=" "," ",($L$26-$D$3*$F$12)*((K436/$F$12)-($C$18/(PI()))*SIN((PI()*K436)/$F$12))+$D$3*K436)</f>
        <v> </v>
      </c>
      <c r="M436" s="31" t="str">
        <f t="shared" si="55"/>
        <v> </v>
      </c>
    </row>
    <row r="437" spans="1:13">
      <c r="A437" s="31" t="str">
        <f t="shared" si="48"/>
        <v> </v>
      </c>
      <c r="B437" s="31" t="str">
        <f>IF(A437=" "," ",($B$26-$B$3*($F$9))*((A437/($F$9))-($C$18/(PI()))*SIN((PI()*A437)/($F$9)))+$B$3*A437)</f>
        <v> </v>
      </c>
      <c r="C437" s="31" t="str">
        <f t="shared" si="52"/>
        <v> </v>
      </c>
      <c r="D437" s="31" t="str">
        <f t="shared" si="49"/>
        <v> </v>
      </c>
      <c r="E437" s="31" t="str">
        <f>IF(D437=" "," ",($E$26-$B$3*($F$8))*((D437/($F$8))-($C$18/(PI()))*SIN((PI()*D437)/($F$8)))+$B$3*D437)</f>
        <v> </v>
      </c>
      <c r="F437" s="31" t="str">
        <f t="shared" si="53"/>
        <v> </v>
      </c>
      <c r="G437" s="31"/>
      <c r="H437" s="31" t="str">
        <f t="shared" si="50"/>
        <v> </v>
      </c>
      <c r="I437" s="31" t="str">
        <f>IF(H437=" "," ",($I$26-$D$3*$F$13)*((H437/$F$13)-($C$18/(PI()))*SIN((PI()*H437)/$F$13))+$D$3*H437)</f>
        <v> </v>
      </c>
      <c r="J437" s="31" t="str">
        <f t="shared" si="54"/>
        <v> </v>
      </c>
      <c r="K437" s="31" t="str">
        <f t="shared" si="51"/>
        <v> </v>
      </c>
      <c r="L437" s="31" t="str">
        <f>IF(K437=" "," ",($L$26-$D$3*$F$12)*((K437/$F$12)-($C$18/(PI()))*SIN((PI()*K437)/$F$12))+$D$3*K437)</f>
        <v> </v>
      </c>
      <c r="M437" s="31" t="str">
        <f t="shared" si="55"/>
        <v> </v>
      </c>
    </row>
    <row r="438" spans="1:13">
      <c r="A438" s="31" t="str">
        <f t="shared" si="48"/>
        <v> </v>
      </c>
      <c r="B438" s="31" t="str">
        <f>IF(A438=" "," ",($B$26-$B$3*($F$9))*((A438/($F$9))-($C$18/(PI()))*SIN((PI()*A438)/($F$9)))+$B$3*A438)</f>
        <v> </v>
      </c>
      <c r="C438" s="31" t="str">
        <f t="shared" si="52"/>
        <v> </v>
      </c>
      <c r="D438" s="31" t="str">
        <f t="shared" si="49"/>
        <v> </v>
      </c>
      <c r="E438" s="31" t="str">
        <f>IF(D438=" "," ",($E$26-$B$3*($F$8))*((D438/($F$8))-($C$18/(PI()))*SIN((PI()*D438)/($F$8)))+$B$3*D438)</f>
        <v> </v>
      </c>
      <c r="F438" s="31" t="str">
        <f t="shared" si="53"/>
        <v> </v>
      </c>
      <c r="G438" s="31"/>
      <c r="H438" s="31" t="str">
        <f t="shared" si="50"/>
        <v> </v>
      </c>
      <c r="I438" s="31" t="str">
        <f>IF(H438=" "," ",($I$26-$D$3*$F$13)*((H438/$F$13)-($C$18/(PI()))*SIN((PI()*H438)/$F$13))+$D$3*H438)</f>
        <v> </v>
      </c>
      <c r="J438" s="31" t="str">
        <f t="shared" si="54"/>
        <v> </v>
      </c>
      <c r="K438" s="31" t="str">
        <f t="shared" si="51"/>
        <v> </v>
      </c>
      <c r="L438" s="31" t="str">
        <f>IF(K438=" "," ",($L$26-$D$3*$F$12)*((K438/$F$12)-($C$18/(PI()))*SIN((PI()*K438)/$F$12))+$D$3*K438)</f>
        <v> </v>
      </c>
      <c r="M438" s="31" t="str">
        <f t="shared" si="55"/>
        <v> </v>
      </c>
    </row>
    <row r="439" spans="1:13">
      <c r="A439" s="31" t="str">
        <f t="shared" si="48"/>
        <v> </v>
      </c>
      <c r="B439" s="31" t="str">
        <f>IF(A439=" "," ",($B$26-$B$3*($F$9))*((A439/($F$9))-($C$18/(PI()))*SIN((PI()*A439)/($F$9)))+$B$3*A439)</f>
        <v> </v>
      </c>
      <c r="C439" s="31" t="str">
        <f t="shared" si="52"/>
        <v> </v>
      </c>
      <c r="D439" s="31" t="str">
        <f t="shared" si="49"/>
        <v> </v>
      </c>
      <c r="E439" s="31" t="str">
        <f>IF(D439=" "," ",($E$26-$B$3*($F$8))*((D439/($F$8))-($C$18/(PI()))*SIN((PI()*D439)/($F$8)))+$B$3*D439)</f>
        <v> </v>
      </c>
      <c r="F439" s="31" t="str">
        <f t="shared" si="53"/>
        <v> </v>
      </c>
      <c r="G439" s="31"/>
      <c r="H439" s="31" t="str">
        <f t="shared" si="50"/>
        <v> </v>
      </c>
      <c r="I439" s="31" t="str">
        <f>IF(H439=" "," ",($I$26-$D$3*$F$13)*((H439/$F$13)-($C$18/(PI()))*SIN((PI()*H439)/$F$13))+$D$3*H439)</f>
        <v> </v>
      </c>
      <c r="J439" s="31" t="str">
        <f t="shared" si="54"/>
        <v> </v>
      </c>
      <c r="K439" s="31" t="str">
        <f t="shared" si="51"/>
        <v> </v>
      </c>
      <c r="L439" s="31" t="str">
        <f>IF(K439=" "," ",($L$26-$D$3*$F$12)*((K439/$F$12)-($C$18/(PI()))*SIN((PI()*K439)/$F$12))+$D$3*K439)</f>
        <v> </v>
      </c>
      <c r="M439" s="31" t="str">
        <f t="shared" si="55"/>
        <v> </v>
      </c>
    </row>
    <row r="440" spans="1:13">
      <c r="A440" s="31" t="str">
        <f t="shared" si="48"/>
        <v> </v>
      </c>
      <c r="B440" s="31" t="str">
        <f>IF(A440=" "," ",($B$26-$B$3*($F$9))*((A440/($F$9))-($C$18/(PI()))*SIN((PI()*A440)/($F$9)))+$B$3*A440)</f>
        <v> </v>
      </c>
      <c r="C440" s="31" t="str">
        <f t="shared" si="52"/>
        <v> </v>
      </c>
      <c r="D440" s="31" t="str">
        <f t="shared" si="49"/>
        <v> </v>
      </c>
      <c r="E440" s="31" t="str">
        <f>IF(D440=" "," ",($E$26-$B$3*($F$8))*((D440/($F$8))-($C$18/(PI()))*SIN((PI()*D440)/($F$8)))+$B$3*D440)</f>
        <v> </v>
      </c>
      <c r="F440" s="31" t="str">
        <f t="shared" si="53"/>
        <v> </v>
      </c>
      <c r="G440" s="31"/>
      <c r="H440" s="31" t="str">
        <f t="shared" si="50"/>
        <v> </v>
      </c>
      <c r="I440" s="31" t="str">
        <f>IF(H440=" "," ",($I$26-$D$3*$F$13)*((H440/$F$13)-($C$18/(PI()))*SIN((PI()*H440)/$F$13))+$D$3*H440)</f>
        <v> </v>
      </c>
      <c r="J440" s="31" t="str">
        <f t="shared" si="54"/>
        <v> </v>
      </c>
      <c r="K440" s="31" t="str">
        <f t="shared" si="51"/>
        <v> </v>
      </c>
      <c r="L440" s="31" t="str">
        <f>IF(K440=" "," ",($L$26-$D$3*$F$12)*((K440/$F$12)-($C$18/(PI()))*SIN((PI()*K440)/$F$12))+$D$3*K440)</f>
        <v> </v>
      </c>
      <c r="M440" s="31" t="str">
        <f t="shared" si="55"/>
        <v> </v>
      </c>
    </row>
    <row r="441" spans="1:13">
      <c r="A441" s="31" t="str">
        <f t="shared" si="48"/>
        <v> </v>
      </c>
      <c r="B441" s="31" t="str">
        <f>IF(A441=" "," ",($B$26-$B$3*($F$9))*((A441/($F$9))-($C$18/(PI()))*SIN((PI()*A441)/($F$9)))+$B$3*A441)</f>
        <v> </v>
      </c>
      <c r="C441" s="31" t="str">
        <f t="shared" si="52"/>
        <v> </v>
      </c>
      <c r="D441" s="31" t="str">
        <f t="shared" si="49"/>
        <v> </v>
      </c>
      <c r="E441" s="31" t="str">
        <f>IF(D441=" "," ",($E$26-$B$3*($F$8))*((D441/($F$8))-($C$18/(PI()))*SIN((PI()*D441)/($F$8)))+$B$3*D441)</f>
        <v> </v>
      </c>
      <c r="F441" s="31" t="str">
        <f t="shared" si="53"/>
        <v> </v>
      </c>
      <c r="G441" s="31"/>
      <c r="H441" s="31" t="str">
        <f t="shared" si="50"/>
        <v> </v>
      </c>
      <c r="I441" s="31" t="str">
        <f>IF(H441=" "," ",($I$26-$D$3*$F$13)*((H441/$F$13)-($C$18/(PI()))*SIN((PI()*H441)/$F$13))+$D$3*H441)</f>
        <v> </v>
      </c>
      <c r="J441" s="31" t="str">
        <f t="shared" si="54"/>
        <v> </v>
      </c>
      <c r="K441" s="31" t="str">
        <f t="shared" si="51"/>
        <v> </v>
      </c>
      <c r="L441" s="31" t="str">
        <f>IF(K441=" "," ",($L$26-$D$3*$F$12)*((K441/$F$12)-($C$18/(PI()))*SIN((PI()*K441)/$F$12))+$D$3*K441)</f>
        <v> </v>
      </c>
      <c r="M441" s="31" t="str">
        <f t="shared" si="55"/>
        <v> </v>
      </c>
    </row>
    <row r="442" spans="1:13">
      <c r="A442" s="31" t="str">
        <f t="shared" si="48"/>
        <v> </v>
      </c>
      <c r="B442" s="31" t="str">
        <f>IF(A442=" "," ",($B$26-$B$3*($F$9))*((A442/($F$9))-($C$18/(PI()))*SIN((PI()*A442)/($F$9)))+$B$3*A442)</f>
        <v> </v>
      </c>
      <c r="C442" s="31" t="str">
        <f t="shared" si="52"/>
        <v> </v>
      </c>
      <c r="D442" s="31" t="str">
        <f t="shared" si="49"/>
        <v> </v>
      </c>
      <c r="E442" s="31" t="str">
        <f>IF(D442=" "," ",($E$26-$B$3*($F$8))*((D442/($F$8))-($C$18/(PI()))*SIN((PI()*D442)/($F$8)))+$B$3*D442)</f>
        <v> </v>
      </c>
      <c r="F442" s="31" t="str">
        <f t="shared" si="53"/>
        <v> </v>
      </c>
      <c r="G442" s="31"/>
      <c r="H442" s="31" t="str">
        <f t="shared" si="50"/>
        <v> </v>
      </c>
      <c r="I442" s="31" t="str">
        <f>IF(H442=" "," ",($I$26-$D$3*$F$13)*((H442/$F$13)-($C$18/(PI()))*SIN((PI()*H442)/$F$13))+$D$3*H442)</f>
        <v> </v>
      </c>
      <c r="J442" s="31" t="str">
        <f t="shared" si="54"/>
        <v> </v>
      </c>
      <c r="K442" s="31" t="str">
        <f t="shared" si="51"/>
        <v> </v>
      </c>
      <c r="L442" s="31" t="str">
        <f>IF(K442=" "," ",($L$26-$D$3*$F$12)*((K442/$F$12)-($C$18/(PI()))*SIN((PI()*K442)/$F$12))+$D$3*K442)</f>
        <v> </v>
      </c>
      <c r="M442" s="31" t="str">
        <f t="shared" si="55"/>
        <v> </v>
      </c>
    </row>
    <row r="443" spans="1:13">
      <c r="A443" s="31" t="str">
        <f t="shared" si="48"/>
        <v> </v>
      </c>
      <c r="B443" s="31" t="str">
        <f>IF(A443=" "," ",($B$26-$B$3*($F$9))*((A443/($F$9))-($C$18/(PI()))*SIN((PI()*A443)/($F$9)))+$B$3*A443)</f>
        <v> </v>
      </c>
      <c r="C443" s="31" t="str">
        <f t="shared" si="52"/>
        <v> </v>
      </c>
      <c r="D443" s="31" t="str">
        <f t="shared" si="49"/>
        <v> </v>
      </c>
      <c r="E443" s="31" t="str">
        <f>IF(D443=" "," ",($E$26-$B$3*($F$8))*((D443/($F$8))-($C$18/(PI()))*SIN((PI()*D443)/($F$8)))+$B$3*D443)</f>
        <v> </v>
      </c>
      <c r="F443" s="31" t="str">
        <f t="shared" si="53"/>
        <v> </v>
      </c>
      <c r="G443" s="31"/>
      <c r="H443" s="31" t="str">
        <f t="shared" si="50"/>
        <v> </v>
      </c>
      <c r="I443" s="31" t="str">
        <f>IF(H443=" "," ",($I$26-$D$3*$F$13)*((H443/$F$13)-($C$18/(PI()))*SIN((PI()*H443)/$F$13))+$D$3*H443)</f>
        <v> </v>
      </c>
      <c r="J443" s="31" t="str">
        <f t="shared" si="54"/>
        <v> </v>
      </c>
      <c r="K443" s="31" t="str">
        <f t="shared" si="51"/>
        <v> </v>
      </c>
      <c r="L443" s="31" t="str">
        <f>IF(K443=" "," ",($L$26-$D$3*$F$12)*((K443/$F$12)-($C$18/(PI()))*SIN((PI()*K443)/$F$12))+$D$3*K443)</f>
        <v> </v>
      </c>
      <c r="M443" s="31" t="str">
        <f t="shared" si="55"/>
        <v> </v>
      </c>
    </row>
    <row r="444" spans="1:13">
      <c r="A444" s="31" t="str">
        <f t="shared" si="48"/>
        <v> </v>
      </c>
      <c r="B444" s="31" t="str">
        <f>IF(A444=" "," ",($B$26-$B$3*($F$9))*((A444/($F$9))-($C$18/(PI()))*SIN((PI()*A444)/($F$9)))+$B$3*A444)</f>
        <v> </v>
      </c>
      <c r="C444" s="31" t="str">
        <f t="shared" si="52"/>
        <v> </v>
      </c>
      <c r="D444" s="31" t="str">
        <f t="shared" si="49"/>
        <v> </v>
      </c>
      <c r="E444" s="31" t="str">
        <f>IF(D444=" "," ",($E$26-$B$3*($F$8))*((D444/($F$8))-($C$18/(PI()))*SIN((PI()*D444)/($F$8)))+$B$3*D444)</f>
        <v> </v>
      </c>
      <c r="F444" s="31" t="str">
        <f t="shared" si="53"/>
        <v> </v>
      </c>
      <c r="G444" s="31"/>
      <c r="H444" s="31" t="str">
        <f t="shared" si="50"/>
        <v> </v>
      </c>
      <c r="I444" s="31" t="str">
        <f>IF(H444=" "," ",($I$26-$D$3*$F$13)*((H444/$F$13)-($C$18/(PI()))*SIN((PI()*H444)/$F$13))+$D$3*H444)</f>
        <v> </v>
      </c>
      <c r="J444" s="31" t="str">
        <f t="shared" si="54"/>
        <v> </v>
      </c>
      <c r="K444" s="31" t="str">
        <f t="shared" si="51"/>
        <v> </v>
      </c>
      <c r="L444" s="31" t="str">
        <f>IF(K444=" "," ",($L$26-$D$3*$F$12)*((K444/$F$12)-($C$18/(PI()))*SIN((PI()*K444)/$F$12))+$D$3*K444)</f>
        <v> </v>
      </c>
      <c r="M444" s="31" t="str">
        <f t="shared" si="55"/>
        <v> </v>
      </c>
    </row>
    <row r="445" spans="1:13">
      <c r="A445" s="31" t="str">
        <f t="shared" si="48"/>
        <v> </v>
      </c>
      <c r="B445" s="31" t="str">
        <f>IF(A445=" "," ",($B$26-$B$3*($F$9))*((A445/($F$9))-($C$18/(PI()))*SIN((PI()*A445)/($F$9)))+$B$3*A445)</f>
        <v> </v>
      </c>
      <c r="C445" s="31" t="str">
        <f t="shared" si="52"/>
        <v> </v>
      </c>
      <c r="D445" s="31" t="str">
        <f t="shared" si="49"/>
        <v> </v>
      </c>
      <c r="E445" s="31" t="str">
        <f>IF(D445=" "," ",($E$26-$B$3*($F$8))*((D445/($F$8))-($C$18/(PI()))*SIN((PI()*D445)/($F$8)))+$B$3*D445)</f>
        <v> </v>
      </c>
      <c r="F445" s="31" t="str">
        <f t="shared" si="53"/>
        <v> </v>
      </c>
      <c r="G445" s="31"/>
      <c r="H445" s="31" t="str">
        <f t="shared" si="50"/>
        <v> </v>
      </c>
      <c r="I445" s="31" t="str">
        <f>IF(H445=" "," ",($I$26-$D$3*$F$13)*((H445/$F$13)-($C$18/(PI()))*SIN((PI()*H445)/$F$13))+$D$3*H445)</f>
        <v> </v>
      </c>
      <c r="J445" s="31" t="str">
        <f t="shared" si="54"/>
        <v> </v>
      </c>
      <c r="K445" s="31" t="str">
        <f t="shared" si="51"/>
        <v> </v>
      </c>
      <c r="L445" s="31" t="str">
        <f>IF(K445=" "," ",($L$26-$D$3*$F$12)*((K445/$F$12)-($C$18/(PI()))*SIN((PI()*K445)/$F$12))+$D$3*K445)</f>
        <v> </v>
      </c>
      <c r="M445" s="31" t="str">
        <f t="shared" si="55"/>
        <v> </v>
      </c>
    </row>
    <row r="446" spans="1:13">
      <c r="A446" s="31" t="str">
        <f t="shared" si="48"/>
        <v> </v>
      </c>
      <c r="B446" s="31" t="str">
        <f>IF(A446=" "," ",($B$26-$B$3*($F$9))*((A446/($F$9))-($C$18/(PI()))*SIN((PI()*A446)/($F$9)))+$B$3*A446)</f>
        <v> </v>
      </c>
      <c r="C446" s="31" t="str">
        <f t="shared" si="52"/>
        <v> </v>
      </c>
      <c r="D446" s="31" t="str">
        <f t="shared" si="49"/>
        <v> </v>
      </c>
      <c r="E446" s="31" t="str">
        <f>IF(D446=" "," ",($E$26-$B$3*($F$8))*((D446/($F$8))-($C$18/(PI()))*SIN((PI()*D446)/($F$8)))+$B$3*D446)</f>
        <v> </v>
      </c>
      <c r="F446" s="31" t="str">
        <f t="shared" si="53"/>
        <v> </v>
      </c>
      <c r="G446" s="31"/>
      <c r="H446" s="31" t="str">
        <f t="shared" si="50"/>
        <v> </v>
      </c>
      <c r="I446" s="31" t="str">
        <f>IF(H446=" "," ",($I$26-$D$3*$F$13)*((H446/$F$13)-($C$18/(PI()))*SIN((PI()*H446)/$F$13))+$D$3*H446)</f>
        <v> </v>
      </c>
      <c r="J446" s="31" t="str">
        <f t="shared" si="54"/>
        <v> </v>
      </c>
      <c r="K446" s="31" t="str">
        <f t="shared" si="51"/>
        <v> </v>
      </c>
      <c r="L446" s="31" t="str">
        <f>IF(K446=" "," ",($L$26-$D$3*$F$12)*((K446/$F$12)-($C$18/(PI()))*SIN((PI()*K446)/$F$12))+$D$3*K446)</f>
        <v> </v>
      </c>
      <c r="M446" s="31" t="str">
        <f t="shared" si="55"/>
        <v> </v>
      </c>
    </row>
    <row r="447" spans="1:13">
      <c r="A447" s="31" t="str">
        <f t="shared" si="48"/>
        <v> </v>
      </c>
      <c r="B447" s="31" t="str">
        <f>IF(A447=" "," ",($B$26-$B$3*($F$9))*((A447/($F$9))-($C$18/(PI()))*SIN((PI()*A447)/($F$9)))+$B$3*A447)</f>
        <v> </v>
      </c>
      <c r="C447" s="31" t="str">
        <f t="shared" si="52"/>
        <v> </v>
      </c>
      <c r="D447" s="31" t="str">
        <f t="shared" si="49"/>
        <v> </v>
      </c>
      <c r="E447" s="31" t="str">
        <f>IF(D447=" "," ",($E$26-$B$3*($F$8))*((D447/($F$8))-($C$18/(PI()))*SIN((PI()*D447)/($F$8)))+$B$3*D447)</f>
        <v> </v>
      </c>
      <c r="F447" s="31" t="str">
        <f t="shared" si="53"/>
        <v> </v>
      </c>
      <c r="G447" s="31"/>
      <c r="H447" s="31" t="str">
        <f t="shared" si="50"/>
        <v> </v>
      </c>
      <c r="I447" s="31" t="str">
        <f>IF(H447=" "," ",($I$26-$D$3*$F$13)*((H447/$F$13)-($C$18/(PI()))*SIN((PI()*H447)/$F$13))+$D$3*H447)</f>
        <v> </v>
      </c>
      <c r="J447" s="31" t="str">
        <f t="shared" si="54"/>
        <v> </v>
      </c>
      <c r="K447" s="31" t="str">
        <f t="shared" si="51"/>
        <v> </v>
      </c>
      <c r="L447" s="31" t="str">
        <f>IF(K447=" "," ",($L$26-$D$3*$F$12)*((K447/$F$12)-($C$18/(PI()))*SIN((PI()*K447)/$F$12))+$D$3*K447)</f>
        <v> </v>
      </c>
      <c r="M447" s="31" t="str">
        <f t="shared" si="55"/>
        <v> </v>
      </c>
    </row>
    <row r="448" spans="1:13">
      <c r="A448" s="31" t="str">
        <f t="shared" si="48"/>
        <v> </v>
      </c>
      <c r="B448" s="31" t="str">
        <f>IF(A448=" "," ",($B$26-$B$3*($F$9))*((A448/($F$9))-($C$18/(PI()))*SIN((PI()*A448)/($F$9)))+$B$3*A448)</f>
        <v> </v>
      </c>
      <c r="C448" s="31" t="str">
        <f t="shared" si="52"/>
        <v> </v>
      </c>
      <c r="D448" s="31" t="str">
        <f t="shared" si="49"/>
        <v> </v>
      </c>
      <c r="E448" s="31" t="str">
        <f>IF(D448=" "," ",($E$26-$B$3*($F$8))*((D448/($F$8))-($C$18/(PI()))*SIN((PI()*D448)/($F$8)))+$B$3*D448)</f>
        <v> </v>
      </c>
      <c r="F448" s="31" t="str">
        <f t="shared" si="53"/>
        <v> </v>
      </c>
      <c r="G448" s="31"/>
      <c r="H448" s="31" t="str">
        <f t="shared" si="50"/>
        <v> </v>
      </c>
      <c r="I448" s="31" t="str">
        <f>IF(H448=" "," ",($I$26-$D$3*$F$13)*((H448/$F$13)-($C$18/(PI()))*SIN((PI()*H448)/$F$13))+$D$3*H448)</f>
        <v> </v>
      </c>
      <c r="J448" s="31" t="str">
        <f t="shared" si="54"/>
        <v> </v>
      </c>
      <c r="K448" s="31" t="str">
        <f t="shared" si="51"/>
        <v> </v>
      </c>
      <c r="L448" s="31" t="str">
        <f>IF(K448=" "," ",($L$26-$D$3*$F$12)*((K448/$F$12)-($C$18/(PI()))*SIN((PI()*K448)/$F$12))+$D$3*K448)</f>
        <v> </v>
      </c>
      <c r="M448" s="31" t="str">
        <f t="shared" si="55"/>
        <v> </v>
      </c>
    </row>
    <row r="449" spans="1:13">
      <c r="A449" s="31" t="str">
        <f t="shared" si="48"/>
        <v> </v>
      </c>
      <c r="B449" s="31" t="str">
        <f>IF(A449=" "," ",($B$26-$B$3*($F$9))*((A449/($F$9))-($C$18/(PI()))*SIN((PI()*A449)/($F$9)))+$B$3*A449)</f>
        <v> </v>
      </c>
      <c r="C449" s="31" t="str">
        <f t="shared" si="52"/>
        <v> </v>
      </c>
      <c r="D449" s="31" t="str">
        <f t="shared" si="49"/>
        <v> </v>
      </c>
      <c r="E449" s="31" t="str">
        <f>IF(D449=" "," ",($E$26-$B$3*($F$8))*((D449/($F$8))-($C$18/(PI()))*SIN((PI()*D449)/($F$8)))+$B$3*D449)</f>
        <v> </v>
      </c>
      <c r="F449" s="31" t="str">
        <f t="shared" si="53"/>
        <v> </v>
      </c>
      <c r="G449" s="31"/>
      <c r="H449" s="31" t="str">
        <f t="shared" si="50"/>
        <v> </v>
      </c>
      <c r="I449" s="31" t="str">
        <f>IF(H449=" "," ",($I$26-$D$3*$F$13)*((H449/$F$13)-($C$18/(PI()))*SIN((PI()*H449)/$F$13))+$D$3*H449)</f>
        <v> </v>
      </c>
      <c r="J449" s="31" t="str">
        <f t="shared" si="54"/>
        <v> </v>
      </c>
      <c r="K449" s="31" t="str">
        <f t="shared" si="51"/>
        <v> </v>
      </c>
      <c r="L449" s="31" t="str">
        <f>IF(K449=" "," ",($L$26-$D$3*$F$12)*((K449/$F$12)-($C$18/(PI()))*SIN((PI()*K449)/$F$12))+$D$3*K449)</f>
        <v> </v>
      </c>
      <c r="M449" s="31" t="str">
        <f t="shared" si="55"/>
        <v> </v>
      </c>
    </row>
    <row r="450" spans="1:13">
      <c r="A450" s="31" t="str">
        <f t="shared" si="48"/>
        <v> </v>
      </c>
      <c r="B450" s="31" t="str">
        <f>IF(A450=" "," ",($B$26-$B$3*($F$9))*((A450/($F$9))-($C$18/(PI()))*SIN((PI()*A450)/($F$9)))+$B$3*A450)</f>
        <v> </v>
      </c>
      <c r="C450" s="31" t="str">
        <f t="shared" si="52"/>
        <v> </v>
      </c>
      <c r="D450" s="31" t="str">
        <f t="shared" si="49"/>
        <v> </v>
      </c>
      <c r="E450" s="31" t="str">
        <f>IF(D450=" "," ",($E$26-$B$3*($F$8))*((D450/($F$8))-($C$18/(PI()))*SIN((PI()*D450)/($F$8)))+$B$3*D450)</f>
        <v> </v>
      </c>
      <c r="F450" s="31" t="str">
        <f t="shared" si="53"/>
        <v> </v>
      </c>
      <c r="G450" s="31"/>
      <c r="H450" s="31" t="str">
        <f t="shared" si="50"/>
        <v> </v>
      </c>
      <c r="I450" s="31" t="str">
        <f>IF(H450=" "," ",($I$26-$D$3*$F$13)*((H450/$F$13)-($C$18/(PI()))*SIN((PI()*H450)/$F$13))+$D$3*H450)</f>
        <v> </v>
      </c>
      <c r="J450" s="31" t="str">
        <f t="shared" si="54"/>
        <v> </v>
      </c>
      <c r="K450" s="31" t="str">
        <f t="shared" si="51"/>
        <v> </v>
      </c>
      <c r="L450" s="31" t="str">
        <f>IF(K450=" "," ",($L$26-$D$3*$F$12)*((K450/$F$12)-($C$18/(PI()))*SIN((PI()*K450)/$F$12))+$D$3*K450)</f>
        <v> </v>
      </c>
      <c r="M450" s="31" t="str">
        <f t="shared" si="55"/>
        <v> </v>
      </c>
    </row>
    <row r="451" spans="1:13">
      <c r="A451" s="31" t="str">
        <f t="shared" si="48"/>
        <v> </v>
      </c>
      <c r="B451" s="31" t="str">
        <f>IF(A451=" "," ",($B$26-$B$3*($F$9))*((A451/($F$9))-($C$18/(PI()))*SIN((PI()*A451)/($F$9)))+$B$3*A451)</f>
        <v> </v>
      </c>
      <c r="C451" s="31" t="str">
        <f t="shared" si="52"/>
        <v> </v>
      </c>
      <c r="D451" s="31" t="str">
        <f t="shared" si="49"/>
        <v> </v>
      </c>
      <c r="E451" s="31" t="str">
        <f>IF(D451=" "," ",($E$26-$B$3*($F$8))*((D451/($F$8))-($C$18/(PI()))*SIN((PI()*D451)/($F$8)))+$B$3*D451)</f>
        <v> </v>
      </c>
      <c r="F451" s="31" t="str">
        <f t="shared" si="53"/>
        <v> </v>
      </c>
      <c r="G451" s="31"/>
      <c r="H451" s="31" t="str">
        <f t="shared" si="50"/>
        <v> </v>
      </c>
      <c r="I451" s="31" t="str">
        <f>IF(H451=" "," ",($I$26-$D$3*$F$13)*((H451/$F$13)-($C$18/(PI()))*SIN((PI()*H451)/$F$13))+$D$3*H451)</f>
        <v> </v>
      </c>
      <c r="J451" s="31" t="str">
        <f t="shared" si="54"/>
        <v> </v>
      </c>
      <c r="K451" s="31" t="str">
        <f t="shared" si="51"/>
        <v> </v>
      </c>
      <c r="L451" s="31" t="str">
        <f>IF(K451=" "," ",($L$26-$D$3*$F$12)*((K451/$F$12)-($C$18/(PI()))*SIN((PI()*K451)/$F$12))+$D$3*K451)</f>
        <v> </v>
      </c>
      <c r="M451" s="31" t="str">
        <f t="shared" si="55"/>
        <v> </v>
      </c>
    </row>
    <row r="452" spans="1:13">
      <c r="A452" s="31" t="str">
        <f t="shared" si="48"/>
        <v> </v>
      </c>
      <c r="B452" s="31" t="str">
        <f>IF(A452=" "," ",($B$26-$B$3*($F$9))*((A452/($F$9))-($C$18/(PI()))*SIN((PI()*A452)/($F$9)))+$B$3*A452)</f>
        <v> </v>
      </c>
      <c r="C452" s="31" t="str">
        <f t="shared" si="52"/>
        <v> </v>
      </c>
      <c r="D452" s="31" t="str">
        <f t="shared" si="49"/>
        <v> </v>
      </c>
      <c r="E452" s="31" t="str">
        <f>IF(D452=" "," ",($E$26-$B$3*($F$8))*((D452/($F$8))-($C$18/(PI()))*SIN((PI()*D452)/($F$8)))+$B$3*D452)</f>
        <v> </v>
      </c>
      <c r="F452" s="31" t="str">
        <f t="shared" si="53"/>
        <v> </v>
      </c>
      <c r="G452" s="31"/>
      <c r="H452" s="31" t="str">
        <f t="shared" si="50"/>
        <v> </v>
      </c>
      <c r="I452" s="31" t="str">
        <f>IF(H452=" "," ",($I$26-$D$3*$F$13)*((H452/$F$13)-($C$18/(PI()))*SIN((PI()*H452)/$F$13))+$D$3*H452)</f>
        <v> </v>
      </c>
      <c r="J452" s="31" t="str">
        <f t="shared" si="54"/>
        <v> </v>
      </c>
      <c r="K452" s="31" t="str">
        <f t="shared" si="51"/>
        <v> </v>
      </c>
      <c r="L452" s="31" t="str">
        <f>IF(K452=" "," ",($L$26-$D$3*$F$12)*((K452/$F$12)-($C$18/(PI()))*SIN((PI()*K452)/$F$12))+$D$3*K452)</f>
        <v> </v>
      </c>
      <c r="M452" s="31" t="str">
        <f t="shared" si="55"/>
        <v> </v>
      </c>
    </row>
    <row r="453" spans="1:13">
      <c r="A453" s="31" t="str">
        <f t="shared" si="48"/>
        <v> </v>
      </c>
      <c r="B453" s="31" t="str">
        <f>IF(A453=" "," ",($B$26-$B$3*($F$9))*((A453/($F$9))-($C$18/(PI()))*SIN((PI()*A453)/($F$9)))+$B$3*A453)</f>
        <v> </v>
      </c>
      <c r="C453" s="31" t="str">
        <f t="shared" si="52"/>
        <v> </v>
      </c>
      <c r="D453" s="31" t="str">
        <f t="shared" si="49"/>
        <v> </v>
      </c>
      <c r="E453" s="31" t="str">
        <f>IF(D453=" "," ",($E$26-$B$3*($F$8))*((D453/($F$8))-($C$18/(PI()))*SIN((PI()*D453)/($F$8)))+$B$3*D453)</f>
        <v> </v>
      </c>
      <c r="F453" s="31" t="str">
        <f t="shared" si="53"/>
        <v> </v>
      </c>
      <c r="G453" s="31"/>
      <c r="H453" s="31" t="str">
        <f t="shared" si="50"/>
        <v> </v>
      </c>
      <c r="I453" s="31" t="str">
        <f>IF(H453=" "," ",($I$26-$D$3*$F$13)*((H453/$F$13)-($C$18/(PI()))*SIN((PI()*H453)/$F$13))+$D$3*H453)</f>
        <v> </v>
      </c>
      <c r="J453" s="31" t="str">
        <f t="shared" si="54"/>
        <v> </v>
      </c>
      <c r="K453" s="31" t="str">
        <f t="shared" si="51"/>
        <v> </v>
      </c>
      <c r="L453" s="31" t="str">
        <f>IF(K453=" "," ",($L$26-$D$3*$F$12)*((K453/$F$12)-($C$18/(PI()))*SIN((PI()*K453)/$F$12))+$D$3*K453)</f>
        <v> </v>
      </c>
      <c r="M453" s="31" t="str">
        <f t="shared" si="55"/>
        <v> </v>
      </c>
    </row>
    <row r="454" spans="1:13">
      <c r="A454" s="31" t="str">
        <f t="shared" si="48"/>
        <v> </v>
      </c>
      <c r="B454" s="31" t="str">
        <f>IF(A454=" "," ",($B$26-$B$3*($F$9))*((A454/($F$9))-($C$18/(PI()))*SIN((PI()*A454)/($F$9)))+$B$3*A454)</f>
        <v> </v>
      </c>
      <c r="C454" s="31" t="str">
        <f t="shared" si="52"/>
        <v> </v>
      </c>
      <c r="D454" s="31" t="str">
        <f t="shared" si="49"/>
        <v> </v>
      </c>
      <c r="E454" s="31" t="str">
        <f>IF(D454=" "," ",($E$26-$B$3*($F$8))*((D454/($F$8))-($C$18/(PI()))*SIN((PI()*D454)/($F$8)))+$B$3*D454)</f>
        <v> </v>
      </c>
      <c r="F454" s="31" t="str">
        <f t="shared" si="53"/>
        <v> </v>
      </c>
      <c r="G454" s="31"/>
      <c r="H454" s="31" t="str">
        <f t="shared" si="50"/>
        <v> </v>
      </c>
      <c r="I454" s="31" t="str">
        <f>IF(H454=" "," ",($I$26-$D$3*$F$13)*((H454/$F$13)-($C$18/(PI()))*SIN((PI()*H454)/$F$13))+$D$3*H454)</f>
        <v> </v>
      </c>
      <c r="J454" s="31" t="str">
        <f t="shared" si="54"/>
        <v> </v>
      </c>
      <c r="K454" s="31" t="str">
        <f t="shared" si="51"/>
        <v> </v>
      </c>
      <c r="L454" s="31" t="str">
        <f>IF(K454=" "," ",($L$26-$D$3*$F$12)*((K454/$F$12)-($C$18/(PI()))*SIN((PI()*K454)/$F$12))+$D$3*K454)</f>
        <v> </v>
      </c>
      <c r="M454" s="31" t="str">
        <f t="shared" si="55"/>
        <v> </v>
      </c>
    </row>
    <row r="455" spans="1:13">
      <c r="A455" s="31" t="str">
        <f t="shared" si="48"/>
        <v> </v>
      </c>
      <c r="B455" s="31" t="str">
        <f>IF(A455=" "," ",($B$26-$B$3*($F$9))*((A455/($F$9))-($C$18/(PI()))*SIN((PI()*A455)/($F$9)))+$B$3*A455)</f>
        <v> </v>
      </c>
      <c r="C455" s="31" t="str">
        <f t="shared" si="52"/>
        <v> </v>
      </c>
      <c r="D455" s="31" t="str">
        <f t="shared" si="49"/>
        <v> </v>
      </c>
      <c r="E455" s="31" t="str">
        <f>IF(D455=" "," ",($E$26-$B$3*($F$8))*((D455/($F$8))-($C$18/(PI()))*SIN((PI()*D455)/($F$8)))+$B$3*D455)</f>
        <v> </v>
      </c>
      <c r="F455" s="31" t="str">
        <f t="shared" si="53"/>
        <v> </v>
      </c>
      <c r="G455" s="31"/>
      <c r="H455" s="31" t="str">
        <f t="shared" si="50"/>
        <v> </v>
      </c>
      <c r="I455" s="31" t="str">
        <f>IF(H455=" "," ",($I$26-$D$3*$F$13)*((H455/$F$13)-($C$18/(PI()))*SIN((PI()*H455)/$F$13))+$D$3*H455)</f>
        <v> </v>
      </c>
      <c r="J455" s="31" t="str">
        <f t="shared" si="54"/>
        <v> </v>
      </c>
      <c r="K455" s="31" t="str">
        <f t="shared" si="51"/>
        <v> </v>
      </c>
      <c r="L455" s="31" t="str">
        <f>IF(K455=" "," ",($L$26-$D$3*$F$12)*((K455/$F$12)-($C$18/(PI()))*SIN((PI()*K455)/$F$12))+$D$3*K455)</f>
        <v> </v>
      </c>
      <c r="M455" s="31" t="str">
        <f t="shared" si="55"/>
        <v> </v>
      </c>
    </row>
    <row r="456" spans="1:13">
      <c r="A456" s="31" t="str">
        <f t="shared" si="48"/>
        <v> </v>
      </c>
      <c r="B456" s="31" t="str">
        <f>IF(A456=" "," ",($B$26-$B$3*($F$9))*((A456/($F$9))-($C$18/(PI()))*SIN((PI()*A456)/($F$9)))+$B$3*A456)</f>
        <v> </v>
      </c>
      <c r="C456" s="31" t="str">
        <f t="shared" si="52"/>
        <v> </v>
      </c>
      <c r="D456" s="31" t="str">
        <f t="shared" si="49"/>
        <v> </v>
      </c>
      <c r="E456" s="31" t="str">
        <f>IF(D456=" "," ",($E$26-$B$3*($F$8))*((D456/($F$8))-($C$18/(PI()))*SIN((PI()*D456)/($F$8)))+$B$3*D456)</f>
        <v> </v>
      </c>
      <c r="F456" s="31" t="str">
        <f t="shared" si="53"/>
        <v> </v>
      </c>
      <c r="G456" s="31"/>
      <c r="H456" s="31" t="str">
        <f t="shared" si="50"/>
        <v> </v>
      </c>
      <c r="I456" s="31" t="str">
        <f>IF(H456=" "," ",($I$26-$D$3*$F$13)*((H456/$F$13)-($C$18/(PI()))*SIN((PI()*H456)/$F$13))+$D$3*H456)</f>
        <v> </v>
      </c>
      <c r="J456" s="31" t="str">
        <f t="shared" si="54"/>
        <v> </v>
      </c>
      <c r="K456" s="31" t="str">
        <f t="shared" si="51"/>
        <v> </v>
      </c>
      <c r="L456" s="31" t="str">
        <f>IF(K456=" "," ",($L$26-$D$3*$F$12)*((K456/$F$12)-($C$18/(PI()))*SIN((PI()*K456)/$F$12))+$D$3*K456)</f>
        <v> </v>
      </c>
      <c r="M456" s="31" t="str">
        <f t="shared" si="55"/>
        <v> </v>
      </c>
    </row>
    <row r="457" spans="1:13">
      <c r="A457" s="31" t="str">
        <f t="shared" si="48"/>
        <v> </v>
      </c>
      <c r="B457" s="31" t="str">
        <f>IF(A457=" "," ",($B$26-$B$3*($F$9))*((A457/($F$9))-($C$18/(PI()))*SIN((PI()*A457)/($F$9)))+$B$3*A457)</f>
        <v> </v>
      </c>
      <c r="C457" s="31" t="str">
        <f t="shared" si="52"/>
        <v> </v>
      </c>
      <c r="D457" s="31" t="str">
        <f t="shared" si="49"/>
        <v> </v>
      </c>
      <c r="E457" s="31" t="str">
        <f>IF(D457=" "," ",($E$26-$B$3*($F$8))*((D457/($F$8))-($C$18/(PI()))*SIN((PI()*D457)/($F$8)))+$B$3*D457)</f>
        <v> </v>
      </c>
      <c r="F457" s="31" t="str">
        <f t="shared" si="53"/>
        <v> </v>
      </c>
      <c r="G457" s="31"/>
      <c r="H457" s="31" t="str">
        <f t="shared" si="50"/>
        <v> </v>
      </c>
      <c r="I457" s="31" t="str">
        <f>IF(H457=" "," ",($I$26-$D$3*$F$13)*((H457/$F$13)-($C$18/(PI()))*SIN((PI()*H457)/$F$13))+$D$3*H457)</f>
        <v> </v>
      </c>
      <c r="J457" s="31" t="str">
        <f t="shared" si="54"/>
        <v> </v>
      </c>
      <c r="K457" s="31" t="str">
        <f t="shared" si="51"/>
        <v> </v>
      </c>
      <c r="L457" s="31" t="str">
        <f>IF(K457=" "," ",($L$26-$D$3*$F$12)*((K457/$F$12)-($C$18/(PI()))*SIN((PI()*K457)/$F$12))+$D$3*K457)</f>
        <v> </v>
      </c>
      <c r="M457" s="31" t="str">
        <f t="shared" si="55"/>
        <v> </v>
      </c>
    </row>
    <row r="458" spans="1:13">
      <c r="A458" s="31" t="str">
        <f t="shared" si="48"/>
        <v> </v>
      </c>
      <c r="B458" s="31" t="str">
        <f>IF(A458=" "," ",($B$26-$B$3*($F$9))*((A458/($F$9))-($C$18/(PI()))*SIN((PI()*A458)/($F$9)))+$B$3*A458)</f>
        <v> </v>
      </c>
      <c r="C458" s="31" t="str">
        <f t="shared" si="52"/>
        <v> </v>
      </c>
      <c r="D458" s="31" t="str">
        <f t="shared" si="49"/>
        <v> </v>
      </c>
      <c r="E458" s="31" t="str">
        <f>IF(D458=" "," ",($E$26-$B$3*($F$8))*((D458/($F$8))-($C$18/(PI()))*SIN((PI()*D458)/($F$8)))+$B$3*D458)</f>
        <v> </v>
      </c>
      <c r="F458" s="31" t="str">
        <f t="shared" si="53"/>
        <v> </v>
      </c>
      <c r="G458" s="31"/>
      <c r="H458" s="31" t="str">
        <f t="shared" si="50"/>
        <v> </v>
      </c>
      <c r="I458" s="31" t="str">
        <f>IF(H458=" "," ",($I$26-$D$3*$F$13)*((H458/$F$13)-($C$18/(PI()))*SIN((PI()*H458)/$F$13))+$D$3*H458)</f>
        <v> </v>
      </c>
      <c r="J458" s="31" t="str">
        <f t="shared" si="54"/>
        <v> </v>
      </c>
      <c r="K458" s="31" t="str">
        <f t="shared" si="51"/>
        <v> </v>
      </c>
      <c r="L458" s="31" t="str">
        <f>IF(K458=" "," ",($L$26-$D$3*$F$12)*((K458/$F$12)-($C$18/(PI()))*SIN((PI()*K458)/$F$12))+$D$3*K458)</f>
        <v> </v>
      </c>
      <c r="M458" s="31" t="str">
        <f t="shared" si="55"/>
        <v> </v>
      </c>
    </row>
    <row r="459" spans="1:13">
      <c r="A459" s="31" t="str">
        <f t="shared" si="48"/>
        <v> </v>
      </c>
      <c r="B459" s="31" t="str">
        <f>IF(A459=" "," ",($B$26-$B$3*($F$9))*((A459/($F$9))-($C$18/(PI()))*SIN((PI()*A459)/($F$9)))+$B$3*A459)</f>
        <v> </v>
      </c>
      <c r="C459" s="31" t="str">
        <f t="shared" si="52"/>
        <v> </v>
      </c>
      <c r="D459" s="31" t="str">
        <f t="shared" si="49"/>
        <v> </v>
      </c>
      <c r="E459" s="31" t="str">
        <f>IF(D459=" "," ",($E$26-$B$3*($F$8))*((D459/($F$8))-($C$18/(PI()))*SIN((PI()*D459)/($F$8)))+$B$3*D459)</f>
        <v> </v>
      </c>
      <c r="F459" s="31" t="str">
        <f t="shared" si="53"/>
        <v> </v>
      </c>
      <c r="G459" s="31"/>
      <c r="H459" s="31" t="str">
        <f t="shared" si="50"/>
        <v> </v>
      </c>
      <c r="I459" s="31" t="str">
        <f>IF(H459=" "," ",($I$26-$D$3*$F$13)*((H459/$F$13)-($C$18/(PI()))*SIN((PI()*H459)/$F$13))+$D$3*H459)</f>
        <v> </v>
      </c>
      <c r="J459" s="31" t="str">
        <f t="shared" si="54"/>
        <v> </v>
      </c>
      <c r="K459" s="31" t="str">
        <f t="shared" si="51"/>
        <v> </v>
      </c>
      <c r="L459" s="31" t="str">
        <f>IF(K459=" "," ",($L$26-$D$3*$F$12)*((K459/$F$12)-($C$18/(PI()))*SIN((PI()*K459)/$F$12))+$D$3*K459)</f>
        <v> </v>
      </c>
      <c r="M459" s="31" t="str">
        <f t="shared" si="55"/>
        <v> </v>
      </c>
    </row>
    <row r="460" spans="1:13">
      <c r="A460" s="31" t="str">
        <f t="shared" si="48"/>
        <v> </v>
      </c>
      <c r="B460" s="31" t="str">
        <f>IF(A460=" "," ",($B$26-$B$3*($F$9))*((A460/($F$9))-($C$18/(PI()))*SIN((PI()*A460)/($F$9)))+$B$3*A460)</f>
        <v> </v>
      </c>
      <c r="C460" s="31" t="str">
        <f t="shared" si="52"/>
        <v> </v>
      </c>
      <c r="D460" s="31" t="str">
        <f t="shared" si="49"/>
        <v> </v>
      </c>
      <c r="E460" s="31" t="str">
        <f>IF(D460=" "," ",($E$26-$B$3*($F$8))*((D460/($F$8))-($C$18/(PI()))*SIN((PI()*D460)/($F$8)))+$B$3*D460)</f>
        <v> </v>
      </c>
      <c r="F460" s="31" t="str">
        <f t="shared" si="53"/>
        <v> </v>
      </c>
      <c r="G460" s="31"/>
      <c r="H460" s="31" t="str">
        <f t="shared" si="50"/>
        <v> </v>
      </c>
      <c r="I460" s="31" t="str">
        <f>IF(H460=" "," ",($I$26-$D$3*$F$13)*((H460/$F$13)-($C$18/(PI()))*SIN((PI()*H460)/$F$13))+$D$3*H460)</f>
        <v> </v>
      </c>
      <c r="J460" s="31" t="str">
        <f t="shared" si="54"/>
        <v> </v>
      </c>
      <c r="K460" s="31" t="str">
        <f t="shared" si="51"/>
        <v> </v>
      </c>
      <c r="L460" s="31" t="str">
        <f>IF(K460=" "," ",($L$26-$D$3*$F$12)*((K460/$F$12)-($C$18/(PI()))*SIN((PI()*K460)/$F$12))+$D$3*K460)</f>
        <v> </v>
      </c>
      <c r="M460" s="31" t="str">
        <f t="shared" si="55"/>
        <v> </v>
      </c>
    </row>
    <row r="461" spans="1:13">
      <c r="A461" s="31" t="str">
        <f t="shared" si="48"/>
        <v> </v>
      </c>
      <c r="B461" s="31" t="str">
        <f>IF(A461=" "," ",($B$26-$B$3*($F$9))*((A461/($F$9))-($C$18/(PI()))*SIN((PI()*A461)/($F$9)))+$B$3*A461)</f>
        <v> </v>
      </c>
      <c r="C461" s="31" t="str">
        <f t="shared" si="52"/>
        <v> </v>
      </c>
      <c r="D461" s="31" t="str">
        <f t="shared" si="49"/>
        <v> </v>
      </c>
      <c r="E461" s="31" t="str">
        <f>IF(D461=" "," ",($E$26-$B$3*($F$8))*((D461/($F$8))-($C$18/(PI()))*SIN((PI()*D461)/($F$8)))+$B$3*D461)</f>
        <v> </v>
      </c>
      <c r="F461" s="31" t="str">
        <f t="shared" si="53"/>
        <v> </v>
      </c>
      <c r="G461" s="31"/>
      <c r="H461" s="31" t="str">
        <f t="shared" si="50"/>
        <v> </v>
      </c>
      <c r="I461" s="31" t="str">
        <f>IF(H461=" "," ",($I$26-$D$3*$F$13)*((H461/$F$13)-($C$18/(PI()))*SIN((PI()*H461)/$F$13))+$D$3*H461)</f>
        <v> </v>
      </c>
      <c r="J461" s="31" t="str">
        <f t="shared" si="54"/>
        <v> </v>
      </c>
      <c r="K461" s="31" t="str">
        <f t="shared" si="51"/>
        <v> </v>
      </c>
      <c r="L461" s="31" t="str">
        <f>IF(K461=" "," ",($L$26-$D$3*$F$12)*((K461/$F$12)-($C$18/(PI()))*SIN((PI()*K461)/$F$12))+$D$3*K461)</f>
        <v> </v>
      </c>
      <c r="M461" s="31" t="str">
        <f t="shared" si="55"/>
        <v> </v>
      </c>
    </row>
    <row r="462" spans="1:13">
      <c r="A462" s="31" t="str">
        <f t="shared" si="48"/>
        <v> </v>
      </c>
      <c r="B462" s="31" t="str">
        <f>IF(A462=" "," ",($B$26-$B$3*($F$9))*((A462/($F$9))-($C$18/(PI()))*SIN((PI()*A462)/($F$9)))+$B$3*A462)</f>
        <v> </v>
      </c>
      <c r="C462" s="31" t="str">
        <f t="shared" si="52"/>
        <v> </v>
      </c>
      <c r="D462" s="31" t="str">
        <f t="shared" si="49"/>
        <v> </v>
      </c>
      <c r="E462" s="31" t="str">
        <f>IF(D462=" "," ",($E$26-$B$3*($F$8))*((D462/($F$8))-($C$18/(PI()))*SIN((PI()*D462)/($F$8)))+$B$3*D462)</f>
        <v> </v>
      </c>
      <c r="F462" s="31" t="str">
        <f t="shared" si="53"/>
        <v> </v>
      </c>
      <c r="G462" s="31"/>
      <c r="H462" s="31" t="str">
        <f t="shared" si="50"/>
        <v> </v>
      </c>
      <c r="I462" s="31" t="str">
        <f>IF(H462=" "," ",($I$26-$D$3*$F$13)*((H462/$F$13)-($C$18/(PI()))*SIN((PI()*H462)/$F$13))+$D$3*H462)</f>
        <v> </v>
      </c>
      <c r="J462" s="31" t="str">
        <f t="shared" si="54"/>
        <v> </v>
      </c>
      <c r="K462" s="31" t="str">
        <f t="shared" si="51"/>
        <v> </v>
      </c>
      <c r="L462" s="31" t="str">
        <f>IF(K462=" "," ",($L$26-$D$3*$F$12)*((K462/$F$12)-($C$18/(PI()))*SIN((PI()*K462)/$F$12))+$D$3*K462)</f>
        <v> </v>
      </c>
      <c r="M462" s="31" t="str">
        <f t="shared" si="55"/>
        <v> </v>
      </c>
    </row>
    <row r="463" spans="1:13">
      <c r="A463" s="31" t="str">
        <f t="shared" si="48"/>
        <v> </v>
      </c>
      <c r="B463" s="31" t="str">
        <f>IF(A463=" "," ",($B$26-$B$3*($F$9))*((A463/($F$9))-($C$18/(PI()))*SIN((PI()*A463)/($F$9)))+$B$3*A463)</f>
        <v> </v>
      </c>
      <c r="C463" s="31" t="str">
        <f t="shared" si="52"/>
        <v> </v>
      </c>
      <c r="D463" s="31" t="str">
        <f t="shared" si="49"/>
        <v> </v>
      </c>
      <c r="E463" s="31" t="str">
        <f>IF(D463=" "," ",($E$26-$B$3*($F$8))*((D463/($F$8))-($C$18/(PI()))*SIN((PI()*D463)/($F$8)))+$B$3*D463)</f>
        <v> </v>
      </c>
      <c r="F463" s="31" t="str">
        <f t="shared" si="53"/>
        <v> </v>
      </c>
      <c r="G463" s="31"/>
      <c r="H463" s="31" t="str">
        <f t="shared" si="50"/>
        <v> </v>
      </c>
      <c r="I463" s="31" t="str">
        <f>IF(H463=" "," ",($I$26-$D$3*$F$13)*((H463/$F$13)-($C$18/(PI()))*SIN((PI()*H463)/$F$13))+$D$3*H463)</f>
        <v> </v>
      </c>
      <c r="J463" s="31" t="str">
        <f t="shared" si="54"/>
        <v> </v>
      </c>
      <c r="K463" s="31" t="str">
        <f t="shared" si="51"/>
        <v> </v>
      </c>
      <c r="L463" s="31" t="str">
        <f>IF(K463=" "," ",($L$26-$D$3*$F$12)*((K463/$F$12)-($C$18/(PI()))*SIN((PI()*K463)/$F$12))+$D$3*K463)</f>
        <v> </v>
      </c>
      <c r="M463" s="31" t="str">
        <f t="shared" si="55"/>
        <v> </v>
      </c>
    </row>
    <row r="464" spans="1:13">
      <c r="A464" s="31" t="str">
        <f t="shared" si="48"/>
        <v> </v>
      </c>
      <c r="B464" s="31" t="str">
        <f>IF(A464=" "," ",($B$26-$B$3*($F$9))*((A464/($F$9))-($C$18/(PI()))*SIN((PI()*A464)/($F$9)))+$B$3*A464)</f>
        <v> </v>
      </c>
      <c r="C464" s="31" t="str">
        <f t="shared" si="52"/>
        <v> </v>
      </c>
      <c r="D464" s="31" t="str">
        <f t="shared" si="49"/>
        <v> </v>
      </c>
      <c r="E464" s="31" t="str">
        <f>IF(D464=" "," ",($E$26-$B$3*($F$8))*((D464/($F$8))-($C$18/(PI()))*SIN((PI()*D464)/($F$8)))+$B$3*D464)</f>
        <v> </v>
      </c>
      <c r="F464" s="31" t="str">
        <f t="shared" si="53"/>
        <v> </v>
      </c>
      <c r="G464" s="31"/>
      <c r="H464" s="31" t="str">
        <f t="shared" si="50"/>
        <v> </v>
      </c>
      <c r="I464" s="31" t="str">
        <f>IF(H464=" "," ",($I$26-$D$3*$F$13)*((H464/$F$13)-($C$18/(PI()))*SIN((PI()*H464)/$F$13))+$D$3*H464)</f>
        <v> </v>
      </c>
      <c r="J464" s="31" t="str">
        <f t="shared" si="54"/>
        <v> </v>
      </c>
      <c r="K464" s="31" t="str">
        <f t="shared" si="51"/>
        <v> </v>
      </c>
      <c r="L464" s="31" t="str">
        <f>IF(K464=" "," ",($L$26-$D$3*$F$12)*((K464/$F$12)-($C$18/(PI()))*SIN((PI()*K464)/$F$12))+$D$3*K464)</f>
        <v> </v>
      </c>
      <c r="M464" s="31" t="str">
        <f t="shared" si="55"/>
        <v> </v>
      </c>
    </row>
    <row r="465" spans="1:13">
      <c r="A465" s="31" t="str">
        <f t="shared" si="48"/>
        <v> </v>
      </c>
      <c r="B465" s="31" t="str">
        <f>IF(A465=" "," ",($B$26-$B$3*($F$9))*((A465/($F$9))-($C$18/(PI()))*SIN((PI()*A465)/($F$9)))+$B$3*A465)</f>
        <v> </v>
      </c>
      <c r="C465" s="31" t="str">
        <f t="shared" si="52"/>
        <v> </v>
      </c>
      <c r="D465" s="31" t="str">
        <f t="shared" si="49"/>
        <v> </v>
      </c>
      <c r="E465" s="31" t="str">
        <f>IF(D465=" "," ",($E$26-$B$3*($F$8))*((D465/($F$8))-($C$18/(PI()))*SIN((PI()*D465)/($F$8)))+$B$3*D465)</f>
        <v> </v>
      </c>
      <c r="F465" s="31" t="str">
        <f t="shared" si="53"/>
        <v> </v>
      </c>
      <c r="G465" s="31"/>
      <c r="H465" s="31" t="str">
        <f t="shared" si="50"/>
        <v> </v>
      </c>
      <c r="I465" s="31" t="str">
        <f>IF(H465=" "," ",($I$26-$D$3*$F$13)*((H465/$F$13)-($C$18/(PI()))*SIN((PI()*H465)/$F$13))+$D$3*H465)</f>
        <v> </v>
      </c>
      <c r="J465" s="31" t="str">
        <f t="shared" si="54"/>
        <v> </v>
      </c>
      <c r="K465" s="31" t="str">
        <f t="shared" si="51"/>
        <v> </v>
      </c>
      <c r="L465" s="31" t="str">
        <f>IF(K465=" "," ",($L$26-$D$3*$F$12)*((K465/$F$12)-($C$18/(PI()))*SIN((PI()*K465)/$F$12))+$D$3*K465)</f>
        <v> </v>
      </c>
      <c r="M465" s="31" t="str">
        <f t="shared" si="55"/>
        <v> </v>
      </c>
    </row>
    <row r="466" spans="1:13">
      <c r="A466" s="31" t="str">
        <f t="shared" si="48"/>
        <v> </v>
      </c>
      <c r="B466" s="31" t="str">
        <f>IF(A466=" "," ",($B$26-$B$3*($F$9))*((A466/($F$9))-($C$18/(PI()))*SIN((PI()*A466)/($F$9)))+$B$3*A466)</f>
        <v> </v>
      </c>
      <c r="C466" s="31" t="str">
        <f t="shared" si="52"/>
        <v> </v>
      </c>
      <c r="D466" s="31" t="str">
        <f t="shared" si="49"/>
        <v> </v>
      </c>
      <c r="E466" s="31" t="str">
        <f>IF(D466=" "," ",($E$26-$B$3*($F$8))*((D466/($F$8))-($C$18/(PI()))*SIN((PI()*D466)/($F$8)))+$B$3*D466)</f>
        <v> </v>
      </c>
      <c r="F466" s="31" t="str">
        <f t="shared" si="53"/>
        <v> </v>
      </c>
      <c r="G466" s="31"/>
      <c r="H466" s="31" t="str">
        <f t="shared" si="50"/>
        <v> </v>
      </c>
      <c r="I466" s="31" t="str">
        <f>IF(H466=" "," ",($I$26-$D$3*$F$13)*((H466/$F$13)-($C$18/(PI()))*SIN((PI()*H466)/$F$13))+$D$3*H466)</f>
        <v> </v>
      </c>
      <c r="J466" s="31" t="str">
        <f t="shared" si="54"/>
        <v> </v>
      </c>
      <c r="K466" s="31" t="str">
        <f t="shared" si="51"/>
        <v> </v>
      </c>
      <c r="L466" s="31" t="str">
        <f>IF(K466=" "," ",($L$26-$D$3*$F$12)*((K466/$F$12)-($C$18/(PI()))*SIN((PI()*K466)/$F$12))+$D$3*K466)</f>
        <v> </v>
      </c>
      <c r="M466" s="31" t="str">
        <f t="shared" si="55"/>
        <v> </v>
      </c>
    </row>
    <row r="467" spans="1:13">
      <c r="A467" s="31" t="str">
        <f t="shared" si="48"/>
        <v> </v>
      </c>
      <c r="B467" s="31" t="str">
        <f>IF(A467=" "," ",($B$26-$B$3*($F$9))*((A467/($F$9))-($C$18/(PI()))*SIN((PI()*A467)/($F$9)))+$B$3*A467)</f>
        <v> </v>
      </c>
      <c r="C467" s="31" t="str">
        <f t="shared" si="52"/>
        <v> </v>
      </c>
      <c r="D467" s="31" t="str">
        <f t="shared" si="49"/>
        <v> </v>
      </c>
      <c r="E467" s="31" t="str">
        <f>IF(D467=" "," ",($E$26-$B$3*($F$8))*((D467/($F$8))-($C$18/(PI()))*SIN((PI()*D467)/($F$8)))+$B$3*D467)</f>
        <v> </v>
      </c>
      <c r="F467" s="31" t="str">
        <f t="shared" si="53"/>
        <v> </v>
      </c>
      <c r="G467" s="31"/>
      <c r="H467" s="31" t="str">
        <f t="shared" si="50"/>
        <v> </v>
      </c>
      <c r="I467" s="31" t="str">
        <f>IF(H467=" "," ",($I$26-$D$3*$F$13)*((H467/$F$13)-($C$18/(PI()))*SIN((PI()*H467)/$F$13))+$D$3*H467)</f>
        <v> </v>
      </c>
      <c r="J467" s="31" t="str">
        <f t="shared" si="54"/>
        <v> </v>
      </c>
      <c r="K467" s="31" t="str">
        <f t="shared" si="51"/>
        <v> </v>
      </c>
      <c r="L467" s="31" t="str">
        <f>IF(K467=" "," ",($L$26-$D$3*$F$12)*((K467/$F$12)-($C$18/(PI()))*SIN((PI()*K467)/$F$12))+$D$3*K467)</f>
        <v> </v>
      </c>
      <c r="M467" s="31" t="str">
        <f t="shared" si="55"/>
        <v> </v>
      </c>
    </row>
    <row r="468" spans="1:13">
      <c r="A468" s="31" t="str">
        <f t="shared" si="48"/>
        <v> </v>
      </c>
      <c r="B468" s="31" t="str">
        <f>IF(A468=" "," ",($B$26-$B$3*($F$9))*((A468/($F$9))-($C$18/(PI()))*SIN((PI()*A468)/($F$9)))+$B$3*A468)</f>
        <v> </v>
      </c>
      <c r="C468" s="31" t="str">
        <f t="shared" si="52"/>
        <v> </v>
      </c>
      <c r="D468" s="31" t="str">
        <f t="shared" si="49"/>
        <v> </v>
      </c>
      <c r="E468" s="31" t="str">
        <f>IF(D468=" "," ",($E$26-$B$3*($F$8))*((D468/($F$8))-($C$18/(PI()))*SIN((PI()*D468)/($F$8)))+$B$3*D468)</f>
        <v> </v>
      </c>
      <c r="F468" s="31" t="str">
        <f t="shared" si="53"/>
        <v> </v>
      </c>
      <c r="G468" s="31"/>
      <c r="H468" s="31" t="str">
        <f t="shared" si="50"/>
        <v> </v>
      </c>
      <c r="I468" s="31" t="str">
        <f>IF(H468=" "," ",($I$26-$D$3*$F$13)*((H468/$F$13)-($C$18/(PI()))*SIN((PI()*H468)/$F$13))+$D$3*H468)</f>
        <v> </v>
      </c>
      <c r="J468" s="31" t="str">
        <f t="shared" si="54"/>
        <v> </v>
      </c>
      <c r="K468" s="31" t="str">
        <f t="shared" si="51"/>
        <v> </v>
      </c>
      <c r="L468" s="31" t="str">
        <f>IF(K468=" "," ",($L$26-$D$3*$F$12)*((K468/$F$12)-($C$18/(PI()))*SIN((PI()*K468)/$F$12))+$D$3*K468)</f>
        <v> </v>
      </c>
      <c r="M468" s="31" t="str">
        <f t="shared" si="55"/>
        <v> </v>
      </c>
    </row>
    <row r="469" spans="1:13">
      <c r="A469" s="31" t="str">
        <f t="shared" si="48"/>
        <v> </v>
      </c>
      <c r="B469" s="31" t="str">
        <f>IF(A469=" "," ",($B$26-$B$3*($F$9))*((A469/($F$9))-($C$18/(PI()))*SIN((PI()*A469)/($F$9)))+$B$3*A469)</f>
        <v> </v>
      </c>
      <c r="C469" s="31" t="str">
        <f t="shared" si="52"/>
        <v> </v>
      </c>
      <c r="D469" s="31" t="str">
        <f t="shared" si="49"/>
        <v> </v>
      </c>
      <c r="E469" s="31" t="str">
        <f>IF(D469=" "," ",($E$26-$B$3*($F$8))*((D469/($F$8))-($C$18/(PI()))*SIN((PI()*D469)/($F$8)))+$B$3*D469)</f>
        <v> </v>
      </c>
      <c r="F469" s="31" t="str">
        <f t="shared" si="53"/>
        <v> </v>
      </c>
      <c r="G469" s="31"/>
      <c r="H469" s="31" t="str">
        <f t="shared" si="50"/>
        <v> </v>
      </c>
      <c r="I469" s="31" t="str">
        <f>IF(H469=" "," ",($I$26-$D$3*$F$13)*((H469/$F$13)-($C$18/(PI()))*SIN((PI()*H469)/$F$13))+$D$3*H469)</f>
        <v> </v>
      </c>
      <c r="J469" s="31" t="str">
        <f t="shared" si="54"/>
        <v> </v>
      </c>
      <c r="K469" s="31" t="str">
        <f t="shared" si="51"/>
        <v> </v>
      </c>
      <c r="L469" s="31" t="str">
        <f>IF(K469=" "," ",($L$26-$D$3*$F$12)*((K469/$F$12)-($C$18/(PI()))*SIN((PI()*K469)/$F$12))+$D$3*K469)</f>
        <v> </v>
      </c>
      <c r="M469" s="31" t="str">
        <f t="shared" si="55"/>
        <v> </v>
      </c>
    </row>
    <row r="470" spans="1:13">
      <c r="A470" s="31" t="str">
        <f t="shared" si="48"/>
        <v> </v>
      </c>
      <c r="B470" s="31" t="str">
        <f>IF(A470=" "," ",($B$26-$B$3*($F$9))*((A470/($F$9))-($C$18/(PI()))*SIN((PI()*A470)/($F$9)))+$B$3*A470)</f>
        <v> </v>
      </c>
      <c r="C470" s="31" t="str">
        <f t="shared" si="52"/>
        <v> </v>
      </c>
      <c r="D470" s="31" t="str">
        <f t="shared" si="49"/>
        <v> </v>
      </c>
      <c r="E470" s="31" t="str">
        <f>IF(D470=" "," ",($E$26-$B$3*($F$8))*((D470/($F$8))-($C$18/(PI()))*SIN((PI()*D470)/($F$8)))+$B$3*D470)</f>
        <v> </v>
      </c>
      <c r="F470" s="31" t="str">
        <f t="shared" si="53"/>
        <v> </v>
      </c>
      <c r="G470" s="31"/>
      <c r="H470" s="31" t="str">
        <f t="shared" si="50"/>
        <v> </v>
      </c>
      <c r="I470" s="31" t="str">
        <f>IF(H470=" "," ",($I$26-$D$3*$F$13)*((H470/$F$13)-($C$18/(PI()))*SIN((PI()*H470)/$F$13))+$D$3*H470)</f>
        <v> </v>
      </c>
      <c r="J470" s="31" t="str">
        <f t="shared" si="54"/>
        <v> </v>
      </c>
      <c r="K470" s="31" t="str">
        <f t="shared" si="51"/>
        <v> </v>
      </c>
      <c r="L470" s="31" t="str">
        <f>IF(K470=" "," ",($L$26-$D$3*$F$12)*((K470/$F$12)-($C$18/(PI()))*SIN((PI()*K470)/$F$12))+$D$3*K470)</f>
        <v> </v>
      </c>
      <c r="M470" s="31" t="str">
        <f t="shared" si="55"/>
        <v> </v>
      </c>
    </row>
    <row r="471" spans="1:13">
      <c r="A471" s="31" t="str">
        <f t="shared" si="48"/>
        <v> </v>
      </c>
      <c r="B471" s="31" t="str">
        <f>IF(A471=" "," ",($B$26-$B$3*($F$9))*((A471/($F$9))-($C$18/(PI()))*SIN((PI()*A471)/($F$9)))+$B$3*A471)</f>
        <v> </v>
      </c>
      <c r="C471" s="31" t="str">
        <f t="shared" si="52"/>
        <v> </v>
      </c>
      <c r="D471" s="31" t="str">
        <f t="shared" si="49"/>
        <v> </v>
      </c>
      <c r="E471" s="31" t="str">
        <f>IF(D471=" "," ",($E$26-$B$3*($F$8))*((D471/($F$8))-($C$18/(PI()))*SIN((PI()*D471)/($F$8)))+$B$3*D471)</f>
        <v> </v>
      </c>
      <c r="F471" s="31" t="str">
        <f t="shared" si="53"/>
        <v> </v>
      </c>
      <c r="G471" s="31"/>
      <c r="H471" s="31" t="str">
        <f t="shared" si="50"/>
        <v> </v>
      </c>
      <c r="I471" s="31" t="str">
        <f>IF(H471=" "," ",($I$26-$D$3*$F$13)*((H471/$F$13)-($C$18/(PI()))*SIN((PI()*H471)/$F$13))+$D$3*H471)</f>
        <v> </v>
      </c>
      <c r="J471" s="31" t="str">
        <f t="shared" si="54"/>
        <v> </v>
      </c>
      <c r="K471" s="31" t="str">
        <f t="shared" si="51"/>
        <v> </v>
      </c>
      <c r="L471" s="31" t="str">
        <f>IF(K471=" "," ",($L$26-$D$3*$F$12)*((K471/$F$12)-($C$18/(PI()))*SIN((PI()*K471)/$F$12))+$D$3*K471)</f>
        <v> </v>
      </c>
      <c r="M471" s="31" t="str">
        <f t="shared" si="55"/>
        <v> </v>
      </c>
    </row>
    <row r="472" spans="1:13">
      <c r="A472" s="31" t="str">
        <f t="shared" si="48"/>
        <v> </v>
      </c>
      <c r="B472" s="31" t="str">
        <f>IF(A472=" "," ",($B$26-$B$3*($F$9))*((A472/($F$9))-($C$18/(PI()))*SIN((PI()*A472)/($F$9)))+$B$3*A472)</f>
        <v> </v>
      </c>
      <c r="C472" s="31" t="str">
        <f t="shared" si="52"/>
        <v> </v>
      </c>
      <c r="D472" s="31" t="str">
        <f t="shared" si="49"/>
        <v> </v>
      </c>
      <c r="E472" s="31" t="str">
        <f>IF(D472=" "," ",($E$26-$B$3*($F$8))*((D472/($F$8))-($C$18/(PI()))*SIN((PI()*D472)/($F$8)))+$B$3*D472)</f>
        <v> </v>
      </c>
      <c r="F472" s="31" t="str">
        <f t="shared" si="53"/>
        <v> </v>
      </c>
      <c r="G472" s="31"/>
      <c r="H472" s="31" t="str">
        <f t="shared" si="50"/>
        <v> </v>
      </c>
      <c r="I472" s="31" t="str">
        <f>IF(H472=" "," ",($I$26-$D$3*$F$13)*((H472/$F$13)-($C$18/(PI()))*SIN((PI()*H472)/$F$13))+$D$3*H472)</f>
        <v> </v>
      </c>
      <c r="J472" s="31" t="str">
        <f t="shared" si="54"/>
        <v> </v>
      </c>
      <c r="K472" s="31" t="str">
        <f t="shared" si="51"/>
        <v> </v>
      </c>
      <c r="L472" s="31" t="str">
        <f>IF(K472=" "," ",($L$26-$D$3*$F$12)*((K472/$F$12)-($C$18/(PI()))*SIN((PI()*K472)/$F$12))+$D$3*K472)</f>
        <v> </v>
      </c>
      <c r="M472" s="31" t="str">
        <f t="shared" si="55"/>
        <v> </v>
      </c>
    </row>
    <row r="473" spans="1:13">
      <c r="A473" s="31" t="str">
        <f t="shared" si="48"/>
        <v> </v>
      </c>
      <c r="B473" s="31" t="str">
        <f>IF(A473=" "," ",($B$26-$B$3*($F$9))*((A473/($F$9))-($C$18/(PI()))*SIN((PI()*A473)/($F$9)))+$B$3*A473)</f>
        <v> </v>
      </c>
      <c r="C473" s="31" t="str">
        <f t="shared" si="52"/>
        <v> </v>
      </c>
      <c r="D473" s="31" t="str">
        <f t="shared" si="49"/>
        <v> </v>
      </c>
      <c r="E473" s="31" t="str">
        <f>IF(D473=" "," ",($E$26-$B$3*($F$8))*((D473/($F$8))-($C$18/(PI()))*SIN((PI()*D473)/($F$8)))+$B$3*D473)</f>
        <v> </v>
      </c>
      <c r="F473" s="31" t="str">
        <f t="shared" si="53"/>
        <v> </v>
      </c>
      <c r="G473" s="31"/>
      <c r="H473" s="31" t="str">
        <f t="shared" si="50"/>
        <v> </v>
      </c>
      <c r="I473" s="31" t="str">
        <f>IF(H473=" "," ",($I$26-$D$3*$F$13)*((H473/$F$13)-($C$18/(PI()))*SIN((PI()*H473)/$F$13))+$D$3*H473)</f>
        <v> </v>
      </c>
      <c r="J473" s="31" t="str">
        <f t="shared" si="54"/>
        <v> </v>
      </c>
      <c r="K473" s="31" t="str">
        <f t="shared" si="51"/>
        <v> </v>
      </c>
      <c r="L473" s="31" t="str">
        <f>IF(K473=" "," ",($L$26-$D$3*$F$12)*((K473/$F$12)-($C$18/(PI()))*SIN((PI()*K473)/$F$12))+$D$3*K473)</f>
        <v> </v>
      </c>
      <c r="M473" s="31" t="str">
        <f t="shared" si="55"/>
        <v> </v>
      </c>
    </row>
    <row r="474" spans="1:13">
      <c r="A474" s="31" t="str">
        <f t="shared" si="48"/>
        <v> </v>
      </c>
      <c r="B474" s="31" t="str">
        <f>IF(A474=" "," ",($B$26-$B$3*($F$9))*((A474/($F$9))-($C$18/(PI()))*SIN((PI()*A474)/($F$9)))+$B$3*A474)</f>
        <v> </v>
      </c>
      <c r="C474" s="31" t="str">
        <f t="shared" si="52"/>
        <v> </v>
      </c>
      <c r="D474" s="31" t="str">
        <f t="shared" si="49"/>
        <v> </v>
      </c>
      <c r="E474" s="31" t="str">
        <f>IF(D474=" "," ",($E$26-$B$3*($F$8))*((D474/($F$8))-($C$18/(PI()))*SIN((PI()*D474)/($F$8)))+$B$3*D474)</f>
        <v> </v>
      </c>
      <c r="F474" s="31" t="str">
        <f t="shared" si="53"/>
        <v> </v>
      </c>
      <c r="G474" s="31"/>
      <c r="H474" s="31" t="str">
        <f t="shared" si="50"/>
        <v> </v>
      </c>
      <c r="I474" s="31" t="str">
        <f>IF(H474=" "," ",($I$26-$D$3*$F$13)*((H474/$F$13)-($C$18/(PI()))*SIN((PI()*H474)/$F$13))+$D$3*H474)</f>
        <v> </v>
      </c>
      <c r="J474" s="31" t="str">
        <f t="shared" si="54"/>
        <v> </v>
      </c>
      <c r="K474" s="31" t="str">
        <f t="shared" si="51"/>
        <v> </v>
      </c>
      <c r="L474" s="31" t="str">
        <f>IF(K474=" "," ",($L$26-$D$3*$F$12)*((K474/$F$12)-($C$18/(PI()))*SIN((PI()*K474)/$F$12))+$D$3*K474)</f>
        <v> </v>
      </c>
      <c r="M474" s="31" t="str">
        <f t="shared" si="55"/>
        <v> </v>
      </c>
    </row>
    <row r="475" spans="1:13">
      <c r="A475" s="31" t="str">
        <f t="shared" si="48"/>
        <v> </v>
      </c>
      <c r="B475" s="31" t="str">
        <f>IF(A475=" "," ",($B$26-$B$3*($F$9))*((A475/($F$9))-($C$18/(PI()))*SIN((PI()*A475)/($F$9)))+$B$3*A475)</f>
        <v> </v>
      </c>
      <c r="C475" s="31" t="str">
        <f t="shared" si="52"/>
        <v> </v>
      </c>
      <c r="D475" s="31" t="str">
        <f t="shared" si="49"/>
        <v> </v>
      </c>
      <c r="E475" s="31" t="str">
        <f>IF(D475=" "," ",($E$26-$B$3*($F$8))*((D475/($F$8))-($C$18/(PI()))*SIN((PI()*D475)/($F$8)))+$B$3*D475)</f>
        <v> </v>
      </c>
      <c r="F475" s="31" t="str">
        <f t="shared" si="53"/>
        <v> </v>
      </c>
      <c r="G475" s="31"/>
      <c r="H475" s="31" t="str">
        <f t="shared" si="50"/>
        <v> </v>
      </c>
      <c r="I475" s="31" t="str">
        <f>IF(H475=" "," ",($I$26-$D$3*$F$13)*((H475/$F$13)-($C$18/(PI()))*SIN((PI()*H475)/$F$13))+$D$3*H475)</f>
        <v> </v>
      </c>
      <c r="J475" s="31" t="str">
        <f t="shared" si="54"/>
        <v> </v>
      </c>
      <c r="K475" s="31" t="str">
        <f t="shared" si="51"/>
        <v> </v>
      </c>
      <c r="L475" s="31" t="str">
        <f>IF(K475=" "," ",($L$26-$D$3*$F$12)*((K475/$F$12)-($C$18/(PI()))*SIN((PI()*K475)/$F$12))+$D$3*K475)</f>
        <v> </v>
      </c>
      <c r="M475" s="31" t="str">
        <f t="shared" si="55"/>
        <v> </v>
      </c>
    </row>
    <row r="476" spans="1:13">
      <c r="A476" s="31" t="str">
        <f t="shared" si="48"/>
        <v> </v>
      </c>
      <c r="B476" s="31" t="str">
        <f>IF(A476=" "," ",($B$26-$B$3*($F$9))*((A476/($F$9))-($C$18/(PI()))*SIN((PI()*A476)/($F$9)))+$B$3*A476)</f>
        <v> </v>
      </c>
      <c r="C476" s="31" t="str">
        <f t="shared" si="52"/>
        <v> </v>
      </c>
      <c r="D476" s="31" t="str">
        <f t="shared" si="49"/>
        <v> </v>
      </c>
      <c r="E476" s="31" t="str">
        <f>IF(D476=" "," ",($E$26-$B$3*($F$8))*((D476/($F$8))-($C$18/(PI()))*SIN((PI()*D476)/($F$8)))+$B$3*D476)</f>
        <v> </v>
      </c>
      <c r="F476" s="31" t="str">
        <f t="shared" si="53"/>
        <v> </v>
      </c>
      <c r="G476" s="31"/>
      <c r="H476" s="31" t="str">
        <f t="shared" si="50"/>
        <v> </v>
      </c>
      <c r="I476" s="31" t="str">
        <f>IF(H476=" "," ",($I$26-$D$3*$F$13)*((H476/$F$13)-($C$18/(PI()))*SIN((PI()*H476)/$F$13))+$D$3*H476)</f>
        <v> </v>
      </c>
      <c r="J476" s="31" t="str">
        <f t="shared" si="54"/>
        <v> </v>
      </c>
      <c r="K476" s="31" t="str">
        <f t="shared" si="51"/>
        <v> </v>
      </c>
      <c r="L476" s="31" t="str">
        <f>IF(K476=" "," ",($L$26-$D$3*$F$12)*((K476/$F$12)-($C$18/(PI()))*SIN((PI()*K476)/$F$12))+$D$3*K476)</f>
        <v> </v>
      </c>
      <c r="M476" s="31" t="str">
        <f t="shared" si="55"/>
        <v> </v>
      </c>
    </row>
    <row r="477" spans="1:13">
      <c r="A477" s="31" t="str">
        <f t="shared" ref="A477:A528" si="56">IF(($F$9)-ROW(A449)&gt;=0,($F$9)-(($F$9)-ROW(A449))," ")</f>
        <v> </v>
      </c>
      <c r="B477" s="31" t="str">
        <f>IF(A477=" "," ",($B$26-$B$3*($F$9))*((A477/($F$9))-($C$18/(PI()))*SIN((PI()*A477)/($F$9)))+$B$3*A477)</f>
        <v> </v>
      </c>
      <c r="C477" s="31" t="str">
        <f t="shared" si="52"/>
        <v> </v>
      </c>
      <c r="D477" s="31" t="str">
        <f t="shared" ref="D477:D528" si="57">IF(($F$8)-ROW(D449)&gt;=0,($F$8)-(($F$8)-ROW(D449))," ")</f>
        <v> </v>
      </c>
      <c r="E477" s="31" t="str">
        <f>IF(D477=" "," ",($E$26-$B$3*($F$8))*((D477/($F$8))-($C$18/(PI()))*SIN((PI()*D477)/($F$8)))+$B$3*D477)</f>
        <v> </v>
      </c>
      <c r="F477" s="31" t="str">
        <f t="shared" si="53"/>
        <v> </v>
      </c>
      <c r="G477" s="31"/>
      <c r="H477" s="31" t="str">
        <f t="shared" ref="H477:H528" si="58">IF($F$13-ROW(H449)&gt;=0,$F$13-($F$13-ROW(H449))," ")</f>
        <v> </v>
      </c>
      <c r="I477" s="31" t="str">
        <f>IF(H477=" "," ",($I$26-$D$3*$F$13)*((H477/$F$13)-($C$18/(PI()))*SIN((PI()*H477)/$F$13))+$D$3*H477)</f>
        <v> </v>
      </c>
      <c r="J477" s="31" t="str">
        <f t="shared" si="54"/>
        <v> </v>
      </c>
      <c r="K477" s="31" t="str">
        <f t="shared" ref="K477:K528" si="59">IF($F$12-ROW(K449)&gt;=0,$F$12-($F$12-ROW(K449))," ")</f>
        <v> </v>
      </c>
      <c r="L477" s="31" t="str">
        <f>IF(K477=" "," ",($L$26-$D$3*$F$12)*((K477/$F$12)-($C$18/(PI()))*SIN((PI()*K477)/$F$12))+$D$3*K477)</f>
        <v> </v>
      </c>
      <c r="M477" s="31" t="str">
        <f t="shared" si="55"/>
        <v> </v>
      </c>
    </row>
    <row r="478" spans="1:13">
      <c r="A478" s="31" t="str">
        <f t="shared" si="56"/>
        <v> </v>
      </c>
      <c r="B478" s="31" t="str">
        <f>IF(A478=" "," ",($B$26-$B$3*($F$9))*((A478/($F$9))-($C$18/(PI()))*SIN((PI()*A478)/($F$9)))+$B$3*A478)</f>
        <v> </v>
      </c>
      <c r="C478" s="31" t="str">
        <f t="shared" ref="C478:C528" si="60">IF(A478=" "," ",(B478-B477)/(B477-B476))</f>
        <v> </v>
      </c>
      <c r="D478" s="31" t="str">
        <f t="shared" si="57"/>
        <v> </v>
      </c>
      <c r="E478" s="31" t="str">
        <f>IF(D478=" "," ",($E$26-$B$3*($F$8))*((D478/($F$8))-($C$18/(PI()))*SIN((PI()*D478)/($F$8)))+$B$3*D478)</f>
        <v> </v>
      </c>
      <c r="F478" s="31" t="str">
        <f t="shared" ref="F478:F528" si="61">IF(D478=" "," ",(E478-E477)/(E477-E476))</f>
        <v> </v>
      </c>
      <c r="G478" s="31"/>
      <c r="H478" s="31" t="str">
        <f t="shared" si="58"/>
        <v> </v>
      </c>
      <c r="I478" s="31" t="str">
        <f>IF(H478=" "," ",($I$26-$D$3*$F$13)*((H478/$F$13)-($C$18/(PI()))*SIN((PI()*H478)/$F$13))+$D$3*H478)</f>
        <v> </v>
      </c>
      <c r="J478" s="31" t="str">
        <f t="shared" ref="J478:J528" si="62">IF(H478=" "," ",(I478-I477)/(I477-I476))</f>
        <v> </v>
      </c>
      <c r="K478" s="31" t="str">
        <f t="shared" si="59"/>
        <v> </v>
      </c>
      <c r="L478" s="31" t="str">
        <f>IF(K478=" "," ",($L$26-$D$3*$F$12)*((K478/$F$12)-($C$18/(PI()))*SIN((PI()*K478)/$F$12))+$D$3*K478)</f>
        <v> </v>
      </c>
      <c r="M478" s="31" t="str">
        <f t="shared" ref="M478:M528" si="63">IF(K478=" "," ",(L478-L477)/(L477-L476))</f>
        <v> </v>
      </c>
    </row>
    <row r="479" spans="1:13">
      <c r="A479" s="31" t="str">
        <f t="shared" si="56"/>
        <v> </v>
      </c>
      <c r="B479" s="31" t="str">
        <f>IF(A479=" "," ",($B$26-$B$3*($F$9))*((A479/($F$9))-($C$18/(PI()))*SIN((PI()*A479)/($F$9)))+$B$3*A479)</f>
        <v> </v>
      </c>
      <c r="C479" s="31" t="str">
        <f t="shared" si="60"/>
        <v> </v>
      </c>
      <c r="D479" s="31" t="str">
        <f t="shared" si="57"/>
        <v> </v>
      </c>
      <c r="E479" s="31" t="str">
        <f>IF(D479=" "," ",($E$26-$B$3*($F$8))*((D479/($F$8))-($C$18/(PI()))*SIN((PI()*D479)/($F$8)))+$B$3*D479)</f>
        <v> </v>
      </c>
      <c r="F479" s="31" t="str">
        <f t="shared" si="61"/>
        <v> </v>
      </c>
      <c r="G479" s="31"/>
      <c r="H479" s="31" t="str">
        <f t="shared" si="58"/>
        <v> </v>
      </c>
      <c r="I479" s="31" t="str">
        <f>IF(H479=" "," ",($I$26-$D$3*$F$13)*((H479/$F$13)-($C$18/(PI()))*SIN((PI()*H479)/$F$13))+$D$3*H479)</f>
        <v> </v>
      </c>
      <c r="J479" s="31" t="str">
        <f t="shared" si="62"/>
        <v> </v>
      </c>
      <c r="K479" s="31" t="str">
        <f t="shared" si="59"/>
        <v> </v>
      </c>
      <c r="L479" s="31" t="str">
        <f>IF(K479=" "," ",($L$26-$D$3*$F$12)*((K479/$F$12)-($C$18/(PI()))*SIN((PI()*K479)/$F$12))+$D$3*K479)</f>
        <v> </v>
      </c>
      <c r="M479" s="31" t="str">
        <f t="shared" si="63"/>
        <v> </v>
      </c>
    </row>
    <row r="480" spans="1:13">
      <c r="A480" s="31" t="str">
        <f t="shared" si="56"/>
        <v> </v>
      </c>
      <c r="B480" s="31" t="str">
        <f>IF(A480=" "," ",($B$26-$B$3*($F$9))*((A480/($F$9))-($C$18/(PI()))*SIN((PI()*A480)/($F$9)))+$B$3*A480)</f>
        <v> </v>
      </c>
      <c r="C480" s="31" t="str">
        <f t="shared" si="60"/>
        <v> </v>
      </c>
      <c r="D480" s="31" t="str">
        <f t="shared" si="57"/>
        <v> </v>
      </c>
      <c r="E480" s="31" t="str">
        <f>IF(D480=" "," ",($E$26-$B$3*($F$8))*((D480/($F$8))-($C$18/(PI()))*SIN((PI()*D480)/($F$8)))+$B$3*D480)</f>
        <v> </v>
      </c>
      <c r="F480" s="31" t="str">
        <f t="shared" si="61"/>
        <v> </v>
      </c>
      <c r="G480" s="31"/>
      <c r="H480" s="31" t="str">
        <f t="shared" si="58"/>
        <v> </v>
      </c>
      <c r="I480" s="31" t="str">
        <f>IF(H480=" "," ",($I$26-$D$3*$F$13)*((H480/$F$13)-($C$18/(PI()))*SIN((PI()*H480)/$F$13))+$D$3*H480)</f>
        <v> </v>
      </c>
      <c r="J480" s="31" t="str">
        <f t="shared" si="62"/>
        <v> </v>
      </c>
      <c r="K480" s="31" t="str">
        <f t="shared" si="59"/>
        <v> </v>
      </c>
      <c r="L480" s="31" t="str">
        <f>IF(K480=" "," ",($L$26-$D$3*$F$12)*((K480/$F$12)-($C$18/(PI()))*SIN((PI()*K480)/$F$12))+$D$3*K480)</f>
        <v> </v>
      </c>
      <c r="M480" s="31" t="str">
        <f t="shared" si="63"/>
        <v> </v>
      </c>
    </row>
    <row r="481" spans="1:13">
      <c r="A481" s="31" t="str">
        <f t="shared" si="56"/>
        <v> </v>
      </c>
      <c r="B481" s="31" t="str">
        <f>IF(A481=" "," ",($B$26-$B$3*($F$9))*((A481/($F$9))-($C$18/(PI()))*SIN((PI()*A481)/($F$9)))+$B$3*A481)</f>
        <v> </v>
      </c>
      <c r="C481" s="31" t="str">
        <f t="shared" si="60"/>
        <v> </v>
      </c>
      <c r="D481" s="31" t="str">
        <f t="shared" si="57"/>
        <v> </v>
      </c>
      <c r="E481" s="31" t="str">
        <f>IF(D481=" "," ",($E$26-$B$3*($F$8))*((D481/($F$8))-($C$18/(PI()))*SIN((PI()*D481)/($F$8)))+$B$3*D481)</f>
        <v> </v>
      </c>
      <c r="F481" s="31" t="str">
        <f t="shared" si="61"/>
        <v> </v>
      </c>
      <c r="G481" s="31"/>
      <c r="H481" s="31" t="str">
        <f t="shared" si="58"/>
        <v> </v>
      </c>
      <c r="I481" s="31" t="str">
        <f>IF(H481=" "," ",($I$26-$D$3*$F$13)*((H481/$F$13)-($C$18/(PI()))*SIN((PI()*H481)/$F$13))+$D$3*H481)</f>
        <v> </v>
      </c>
      <c r="J481" s="31" t="str">
        <f t="shared" si="62"/>
        <v> </v>
      </c>
      <c r="K481" s="31" t="str">
        <f t="shared" si="59"/>
        <v> </v>
      </c>
      <c r="L481" s="31" t="str">
        <f>IF(K481=" "," ",($L$26-$D$3*$F$12)*((K481/$F$12)-($C$18/(PI()))*SIN((PI()*K481)/$F$12))+$D$3*K481)</f>
        <v> </v>
      </c>
      <c r="M481" s="31" t="str">
        <f t="shared" si="63"/>
        <v> </v>
      </c>
    </row>
    <row r="482" spans="1:13">
      <c r="A482" s="31" t="str">
        <f t="shared" si="56"/>
        <v> </v>
      </c>
      <c r="B482" s="31" t="str">
        <f>IF(A482=" "," ",($B$26-$B$3*($F$9))*((A482/($F$9))-($C$18/(PI()))*SIN((PI()*A482)/($F$9)))+$B$3*A482)</f>
        <v> </v>
      </c>
      <c r="C482" s="31" t="str">
        <f t="shared" si="60"/>
        <v> </v>
      </c>
      <c r="D482" s="31" t="str">
        <f t="shared" si="57"/>
        <v> </v>
      </c>
      <c r="E482" s="31" t="str">
        <f>IF(D482=" "," ",($E$26-$B$3*($F$8))*((D482/($F$8))-($C$18/(PI()))*SIN((PI()*D482)/($F$8)))+$B$3*D482)</f>
        <v> </v>
      </c>
      <c r="F482" s="31" t="str">
        <f t="shared" si="61"/>
        <v> </v>
      </c>
      <c r="G482" s="31"/>
      <c r="H482" s="31" t="str">
        <f t="shared" si="58"/>
        <v> </v>
      </c>
      <c r="I482" s="31" t="str">
        <f>IF(H482=" "," ",($I$26-$D$3*$F$13)*((H482/$F$13)-($C$18/(PI()))*SIN((PI()*H482)/$F$13))+$D$3*H482)</f>
        <v> </v>
      </c>
      <c r="J482" s="31" t="str">
        <f t="shared" si="62"/>
        <v> </v>
      </c>
      <c r="K482" s="31" t="str">
        <f t="shared" si="59"/>
        <v> </v>
      </c>
      <c r="L482" s="31" t="str">
        <f>IF(K482=" "," ",($L$26-$D$3*$F$12)*((K482/$F$12)-($C$18/(PI()))*SIN((PI()*K482)/$F$12))+$D$3*K482)</f>
        <v> </v>
      </c>
      <c r="M482" s="31" t="str">
        <f t="shared" si="63"/>
        <v> </v>
      </c>
    </row>
    <row r="483" spans="1:13">
      <c r="A483" s="31" t="str">
        <f t="shared" si="56"/>
        <v> </v>
      </c>
      <c r="B483" s="31" t="str">
        <f>IF(A483=" "," ",($B$26-$B$3*($F$9))*((A483/($F$9))-($C$18/(PI()))*SIN((PI()*A483)/($F$9)))+$B$3*A483)</f>
        <v> </v>
      </c>
      <c r="C483" s="31" t="str">
        <f t="shared" si="60"/>
        <v> </v>
      </c>
      <c r="D483" s="31" t="str">
        <f t="shared" si="57"/>
        <v> </v>
      </c>
      <c r="E483" s="31" t="str">
        <f>IF(D483=" "," ",($E$26-$B$3*($F$8))*((D483/($F$8))-($C$18/(PI()))*SIN((PI()*D483)/($F$8)))+$B$3*D483)</f>
        <v> </v>
      </c>
      <c r="F483" s="31" t="str">
        <f t="shared" si="61"/>
        <v> </v>
      </c>
      <c r="G483" s="31"/>
      <c r="H483" s="31" t="str">
        <f t="shared" si="58"/>
        <v> </v>
      </c>
      <c r="I483" s="31" t="str">
        <f>IF(H483=" "," ",($I$26-$D$3*$F$13)*((H483/$F$13)-($C$18/(PI()))*SIN((PI()*H483)/$F$13))+$D$3*H483)</f>
        <v> </v>
      </c>
      <c r="J483" s="31" t="str">
        <f t="shared" si="62"/>
        <v> </v>
      </c>
      <c r="K483" s="31" t="str">
        <f t="shared" si="59"/>
        <v> </v>
      </c>
      <c r="L483" s="31" t="str">
        <f>IF(K483=" "," ",($L$26-$D$3*$F$12)*((K483/$F$12)-($C$18/(PI()))*SIN((PI()*K483)/$F$12))+$D$3*K483)</f>
        <v> </v>
      </c>
      <c r="M483" s="31" t="str">
        <f t="shared" si="63"/>
        <v> </v>
      </c>
    </row>
    <row r="484" spans="1:13">
      <c r="A484" s="31" t="str">
        <f t="shared" si="56"/>
        <v> </v>
      </c>
      <c r="B484" s="31" t="str">
        <f>IF(A484=" "," ",($B$26-$B$3*($F$9))*((A484/($F$9))-($C$18/(PI()))*SIN((PI()*A484)/($F$9)))+$B$3*A484)</f>
        <v> </v>
      </c>
      <c r="C484" s="31" t="str">
        <f t="shared" si="60"/>
        <v> </v>
      </c>
      <c r="D484" s="31" t="str">
        <f t="shared" si="57"/>
        <v> </v>
      </c>
      <c r="E484" s="31" t="str">
        <f>IF(D484=" "," ",($E$26-$B$3*($F$8))*((D484/($F$8))-($C$18/(PI()))*SIN((PI()*D484)/($F$8)))+$B$3*D484)</f>
        <v> </v>
      </c>
      <c r="F484" s="31" t="str">
        <f t="shared" si="61"/>
        <v> </v>
      </c>
      <c r="G484" s="31"/>
      <c r="H484" s="31" t="str">
        <f t="shared" si="58"/>
        <v> </v>
      </c>
      <c r="I484" s="31" t="str">
        <f>IF(H484=" "," ",($I$26-$D$3*$F$13)*((H484/$F$13)-($C$18/(PI()))*SIN((PI()*H484)/$F$13))+$D$3*H484)</f>
        <v> </v>
      </c>
      <c r="J484" s="31" t="str">
        <f t="shared" si="62"/>
        <v> </v>
      </c>
      <c r="K484" s="31" t="str">
        <f t="shared" si="59"/>
        <v> </v>
      </c>
      <c r="L484" s="31" t="str">
        <f>IF(K484=" "," ",($L$26-$D$3*$F$12)*((K484/$F$12)-($C$18/(PI()))*SIN((PI()*K484)/$F$12))+$D$3*K484)</f>
        <v> </v>
      </c>
      <c r="M484" s="31" t="str">
        <f t="shared" si="63"/>
        <v> </v>
      </c>
    </row>
    <row r="485" spans="1:13">
      <c r="A485" s="31" t="str">
        <f t="shared" si="56"/>
        <v> </v>
      </c>
      <c r="B485" s="31" t="str">
        <f>IF(A485=" "," ",($B$26-$B$3*($F$9))*((A485/($F$9))-($C$18/(PI()))*SIN((PI()*A485)/($F$9)))+$B$3*A485)</f>
        <v> </v>
      </c>
      <c r="C485" s="31" t="str">
        <f t="shared" si="60"/>
        <v> </v>
      </c>
      <c r="D485" s="31" t="str">
        <f t="shared" si="57"/>
        <v> </v>
      </c>
      <c r="E485" s="31" t="str">
        <f>IF(D485=" "," ",($E$26-$B$3*($F$8))*((D485/($F$8))-($C$18/(PI()))*SIN((PI()*D485)/($F$8)))+$B$3*D485)</f>
        <v> </v>
      </c>
      <c r="F485" s="31" t="str">
        <f t="shared" si="61"/>
        <v> </v>
      </c>
      <c r="G485" s="31"/>
      <c r="H485" s="31" t="str">
        <f t="shared" si="58"/>
        <v> </v>
      </c>
      <c r="I485" s="31" t="str">
        <f>IF(H485=" "," ",($I$26-$D$3*$F$13)*((H485/$F$13)-($C$18/(PI()))*SIN((PI()*H485)/$F$13))+$D$3*H485)</f>
        <v> </v>
      </c>
      <c r="J485" s="31" t="str">
        <f t="shared" si="62"/>
        <v> </v>
      </c>
      <c r="K485" s="31" t="str">
        <f t="shared" si="59"/>
        <v> </v>
      </c>
      <c r="L485" s="31" t="str">
        <f>IF(K485=" "," ",($L$26-$D$3*$F$12)*((K485/$F$12)-($C$18/(PI()))*SIN((PI()*K485)/$F$12))+$D$3*K485)</f>
        <v> </v>
      </c>
      <c r="M485" s="31" t="str">
        <f t="shared" si="63"/>
        <v> </v>
      </c>
    </row>
    <row r="486" spans="1:13">
      <c r="A486" s="31" t="str">
        <f t="shared" si="56"/>
        <v> </v>
      </c>
      <c r="B486" s="31" t="str">
        <f>IF(A486=" "," ",($B$26-$B$3*($F$9))*((A486/($F$9))-($C$18/(PI()))*SIN((PI()*A486)/($F$9)))+$B$3*A486)</f>
        <v> </v>
      </c>
      <c r="C486" s="31" t="str">
        <f t="shared" si="60"/>
        <v> </v>
      </c>
      <c r="D486" s="31" t="str">
        <f t="shared" si="57"/>
        <v> </v>
      </c>
      <c r="E486" s="31" t="str">
        <f>IF(D486=" "," ",($E$26-$B$3*($F$8))*((D486/($F$8))-($C$18/(PI()))*SIN((PI()*D486)/($F$8)))+$B$3*D486)</f>
        <v> </v>
      </c>
      <c r="F486" s="31" t="str">
        <f t="shared" si="61"/>
        <v> </v>
      </c>
      <c r="G486" s="31"/>
      <c r="H486" s="31" t="str">
        <f t="shared" si="58"/>
        <v> </v>
      </c>
      <c r="I486" s="31" t="str">
        <f>IF(H486=" "," ",($I$26-$D$3*$F$13)*((H486/$F$13)-($C$18/(PI()))*SIN((PI()*H486)/$F$13))+$D$3*H486)</f>
        <v> </v>
      </c>
      <c r="J486" s="31" t="str">
        <f t="shared" si="62"/>
        <v> </v>
      </c>
      <c r="K486" s="31" t="str">
        <f t="shared" si="59"/>
        <v> </v>
      </c>
      <c r="L486" s="31" t="str">
        <f>IF(K486=" "," ",($L$26-$D$3*$F$12)*((K486/$F$12)-($C$18/(PI()))*SIN((PI()*K486)/$F$12))+$D$3*K486)</f>
        <v> </v>
      </c>
      <c r="M486" s="31" t="str">
        <f t="shared" si="63"/>
        <v> </v>
      </c>
    </row>
    <row r="487" spans="1:13">
      <c r="A487" s="31" t="str">
        <f t="shared" si="56"/>
        <v> </v>
      </c>
      <c r="B487" s="31" t="str">
        <f>IF(A487=" "," ",($B$26-$B$3*($F$9))*((A487/($F$9))-($C$18/(PI()))*SIN((PI()*A487)/($F$9)))+$B$3*A487)</f>
        <v> </v>
      </c>
      <c r="C487" s="31" t="str">
        <f t="shared" si="60"/>
        <v> </v>
      </c>
      <c r="D487" s="31" t="str">
        <f t="shared" si="57"/>
        <v> </v>
      </c>
      <c r="E487" s="31" t="str">
        <f>IF(D487=" "," ",($E$26-$B$3*($F$8))*((D487/($F$8))-($C$18/(PI()))*SIN((PI()*D487)/($F$8)))+$B$3*D487)</f>
        <v> </v>
      </c>
      <c r="F487" s="31" t="str">
        <f t="shared" si="61"/>
        <v> </v>
      </c>
      <c r="G487" s="31"/>
      <c r="H487" s="31" t="str">
        <f t="shared" si="58"/>
        <v> </v>
      </c>
      <c r="I487" s="31" t="str">
        <f>IF(H487=" "," ",($I$26-$D$3*$F$13)*((H487/$F$13)-($C$18/(PI()))*SIN((PI()*H487)/$F$13))+$D$3*H487)</f>
        <v> </v>
      </c>
      <c r="J487" s="31" t="str">
        <f t="shared" si="62"/>
        <v> </v>
      </c>
      <c r="K487" s="31" t="str">
        <f t="shared" si="59"/>
        <v> </v>
      </c>
      <c r="L487" s="31" t="str">
        <f>IF(K487=" "," ",($L$26-$D$3*$F$12)*((K487/$F$12)-($C$18/(PI()))*SIN((PI()*K487)/$F$12))+$D$3*K487)</f>
        <v> </v>
      </c>
      <c r="M487" s="31" t="str">
        <f t="shared" si="63"/>
        <v> </v>
      </c>
    </row>
    <row r="488" spans="1:13">
      <c r="A488" s="31" t="str">
        <f t="shared" si="56"/>
        <v> </v>
      </c>
      <c r="B488" s="31" t="str">
        <f>IF(A488=" "," ",($B$26-$B$3*($F$9))*((A488/($F$9))-($C$18/(PI()))*SIN((PI()*A488)/($F$9)))+$B$3*A488)</f>
        <v> </v>
      </c>
      <c r="C488" s="31" t="str">
        <f t="shared" si="60"/>
        <v> </v>
      </c>
      <c r="D488" s="31" t="str">
        <f t="shared" si="57"/>
        <v> </v>
      </c>
      <c r="E488" s="31" t="str">
        <f>IF(D488=" "," ",($E$26-$B$3*($F$8))*((D488/($F$8))-($C$18/(PI()))*SIN((PI()*D488)/($F$8)))+$B$3*D488)</f>
        <v> </v>
      </c>
      <c r="F488" s="31" t="str">
        <f t="shared" si="61"/>
        <v> </v>
      </c>
      <c r="G488" s="31"/>
      <c r="H488" s="31" t="str">
        <f t="shared" si="58"/>
        <v> </v>
      </c>
      <c r="I488" s="31" t="str">
        <f>IF(H488=" "," ",($I$26-$D$3*$F$13)*((H488/$F$13)-($C$18/(PI()))*SIN((PI()*H488)/$F$13))+$D$3*H488)</f>
        <v> </v>
      </c>
      <c r="J488" s="31" t="str">
        <f t="shared" si="62"/>
        <v> </v>
      </c>
      <c r="K488" s="31" t="str">
        <f t="shared" si="59"/>
        <v> </v>
      </c>
      <c r="L488" s="31" t="str">
        <f>IF(K488=" "," ",($L$26-$D$3*$F$12)*((K488/$F$12)-($C$18/(PI()))*SIN((PI()*K488)/$F$12))+$D$3*K488)</f>
        <v> </v>
      </c>
      <c r="M488" s="31" t="str">
        <f t="shared" si="63"/>
        <v> </v>
      </c>
    </row>
    <row r="489" spans="1:13">
      <c r="A489" s="31" t="str">
        <f t="shared" si="56"/>
        <v> </v>
      </c>
      <c r="B489" s="31" t="str">
        <f>IF(A489=" "," ",($B$26-$B$3*($F$9))*((A489/($F$9))-($C$18/(PI()))*SIN((PI()*A489)/($F$9)))+$B$3*A489)</f>
        <v> </v>
      </c>
      <c r="C489" s="31" t="str">
        <f t="shared" si="60"/>
        <v> </v>
      </c>
      <c r="D489" s="31" t="str">
        <f t="shared" si="57"/>
        <v> </v>
      </c>
      <c r="E489" s="31" t="str">
        <f>IF(D489=" "," ",($E$26-$B$3*($F$8))*((D489/($F$8))-($C$18/(PI()))*SIN((PI()*D489)/($F$8)))+$B$3*D489)</f>
        <v> </v>
      </c>
      <c r="F489" s="31" t="str">
        <f t="shared" si="61"/>
        <v> </v>
      </c>
      <c r="G489" s="31"/>
      <c r="H489" s="31" t="str">
        <f t="shared" si="58"/>
        <v> </v>
      </c>
      <c r="I489" s="31" t="str">
        <f>IF(H489=" "," ",($I$26-$D$3*$F$13)*((H489/$F$13)-($C$18/(PI()))*SIN((PI()*H489)/$F$13))+$D$3*H489)</f>
        <v> </v>
      </c>
      <c r="J489" s="31" t="str">
        <f t="shared" si="62"/>
        <v> </v>
      </c>
      <c r="K489" s="31" t="str">
        <f t="shared" si="59"/>
        <v> </v>
      </c>
      <c r="L489" s="31" t="str">
        <f>IF(K489=" "," ",($L$26-$D$3*$F$12)*((K489/$F$12)-($C$18/(PI()))*SIN((PI()*K489)/$F$12))+$D$3*K489)</f>
        <v> </v>
      </c>
      <c r="M489" s="31" t="str">
        <f t="shared" si="63"/>
        <v> </v>
      </c>
    </row>
    <row r="490" spans="1:13">
      <c r="A490" s="31" t="str">
        <f t="shared" si="56"/>
        <v> </v>
      </c>
      <c r="B490" s="31" t="str">
        <f>IF(A490=" "," ",($B$26-$B$3*($F$9))*((A490/($F$9))-($C$18/(PI()))*SIN((PI()*A490)/($F$9)))+$B$3*A490)</f>
        <v> </v>
      </c>
      <c r="C490" s="31" t="str">
        <f t="shared" si="60"/>
        <v> </v>
      </c>
      <c r="D490" s="31" t="str">
        <f t="shared" si="57"/>
        <v> </v>
      </c>
      <c r="E490" s="31" t="str">
        <f>IF(D490=" "," ",($E$26-$B$3*($F$8))*((D490/($F$8))-($C$18/(PI()))*SIN((PI()*D490)/($F$8)))+$B$3*D490)</f>
        <v> </v>
      </c>
      <c r="F490" s="31" t="str">
        <f t="shared" si="61"/>
        <v> </v>
      </c>
      <c r="G490" s="31"/>
      <c r="H490" s="31" t="str">
        <f t="shared" si="58"/>
        <v> </v>
      </c>
      <c r="I490" s="31" t="str">
        <f>IF(H490=" "," ",($I$26-$D$3*$F$13)*((H490/$F$13)-($C$18/(PI()))*SIN((PI()*H490)/$F$13))+$D$3*H490)</f>
        <v> </v>
      </c>
      <c r="J490" s="31" t="str">
        <f t="shared" si="62"/>
        <v> </v>
      </c>
      <c r="K490" s="31" t="str">
        <f t="shared" si="59"/>
        <v> </v>
      </c>
      <c r="L490" s="31" t="str">
        <f>IF(K490=" "," ",($L$26-$D$3*$F$12)*((K490/$F$12)-($C$18/(PI()))*SIN((PI()*K490)/$F$12))+$D$3*K490)</f>
        <v> </v>
      </c>
      <c r="M490" s="31" t="str">
        <f t="shared" si="63"/>
        <v> </v>
      </c>
    </row>
    <row r="491" spans="1:13">
      <c r="A491" s="31" t="str">
        <f t="shared" si="56"/>
        <v> </v>
      </c>
      <c r="B491" s="31" t="str">
        <f>IF(A491=" "," ",($B$26-$B$3*($F$9))*((A491/($F$9))-($C$18/(PI()))*SIN((PI()*A491)/($F$9)))+$B$3*A491)</f>
        <v> </v>
      </c>
      <c r="C491" s="31" t="str">
        <f t="shared" si="60"/>
        <v> </v>
      </c>
      <c r="D491" s="31" t="str">
        <f t="shared" si="57"/>
        <v> </v>
      </c>
      <c r="E491" s="31" t="str">
        <f>IF(D491=" "," ",($E$26-$B$3*($F$8))*((D491/($F$8))-($C$18/(PI()))*SIN((PI()*D491)/($F$8)))+$B$3*D491)</f>
        <v> </v>
      </c>
      <c r="F491" s="31" t="str">
        <f t="shared" si="61"/>
        <v> </v>
      </c>
      <c r="G491" s="31"/>
      <c r="H491" s="31" t="str">
        <f t="shared" si="58"/>
        <v> </v>
      </c>
      <c r="I491" s="31" t="str">
        <f>IF(H491=" "," ",($I$26-$D$3*$F$13)*((H491/$F$13)-($C$18/(PI()))*SIN((PI()*H491)/$F$13))+$D$3*H491)</f>
        <v> </v>
      </c>
      <c r="J491" s="31" t="str">
        <f t="shared" si="62"/>
        <v> </v>
      </c>
      <c r="K491" s="31" t="str">
        <f t="shared" si="59"/>
        <v> </v>
      </c>
      <c r="L491" s="31" t="str">
        <f>IF(K491=" "," ",($L$26-$D$3*$F$12)*((K491/$F$12)-($C$18/(PI()))*SIN((PI()*K491)/$F$12))+$D$3*K491)</f>
        <v> </v>
      </c>
      <c r="M491" s="31" t="str">
        <f t="shared" si="63"/>
        <v> </v>
      </c>
    </row>
    <row r="492" spans="1:13">
      <c r="A492" s="31" t="str">
        <f t="shared" si="56"/>
        <v> </v>
      </c>
      <c r="B492" s="31" t="str">
        <f>IF(A492=" "," ",($B$26-$B$3*($F$9))*((A492/($F$9))-($C$18/(PI()))*SIN((PI()*A492)/($F$9)))+$B$3*A492)</f>
        <v> </v>
      </c>
      <c r="C492" s="31" t="str">
        <f t="shared" si="60"/>
        <v> </v>
      </c>
      <c r="D492" s="31" t="str">
        <f t="shared" si="57"/>
        <v> </v>
      </c>
      <c r="E492" s="31" t="str">
        <f>IF(D492=" "," ",($E$26-$B$3*($F$8))*((D492/($F$8))-($C$18/(PI()))*SIN((PI()*D492)/($F$8)))+$B$3*D492)</f>
        <v> </v>
      </c>
      <c r="F492" s="31" t="str">
        <f t="shared" si="61"/>
        <v> </v>
      </c>
      <c r="G492" s="31"/>
      <c r="H492" s="31" t="str">
        <f t="shared" si="58"/>
        <v> </v>
      </c>
      <c r="I492" s="31" t="str">
        <f>IF(H492=" "," ",($I$26-$D$3*$F$13)*((H492/$F$13)-($C$18/(PI()))*SIN((PI()*H492)/$F$13))+$D$3*H492)</f>
        <v> </v>
      </c>
      <c r="J492" s="31" t="str">
        <f t="shared" si="62"/>
        <v> </v>
      </c>
      <c r="K492" s="31" t="str">
        <f t="shared" si="59"/>
        <v> </v>
      </c>
      <c r="L492" s="31" t="str">
        <f>IF(K492=" "," ",($L$26-$D$3*$F$12)*((K492/$F$12)-($C$18/(PI()))*SIN((PI()*K492)/$F$12))+$D$3*K492)</f>
        <v> </v>
      </c>
      <c r="M492" s="31" t="str">
        <f t="shared" si="63"/>
        <v> </v>
      </c>
    </row>
    <row r="493" spans="1:13">
      <c r="A493" s="31" t="str">
        <f t="shared" si="56"/>
        <v> </v>
      </c>
      <c r="B493" s="31" t="str">
        <f>IF(A493=" "," ",($B$26-$B$3*($F$9))*((A493/($F$9))-($C$18/(PI()))*SIN((PI()*A493)/($F$9)))+$B$3*A493)</f>
        <v> </v>
      </c>
      <c r="C493" s="31" t="str">
        <f t="shared" si="60"/>
        <v> </v>
      </c>
      <c r="D493" s="31" t="str">
        <f t="shared" si="57"/>
        <v> </v>
      </c>
      <c r="E493" s="31" t="str">
        <f>IF(D493=" "," ",($E$26-$B$3*($F$8))*((D493/($F$8))-($C$18/(PI()))*SIN((PI()*D493)/($F$8)))+$B$3*D493)</f>
        <v> </v>
      </c>
      <c r="F493" s="31" t="str">
        <f t="shared" si="61"/>
        <v> </v>
      </c>
      <c r="G493" s="31"/>
      <c r="H493" s="31" t="str">
        <f t="shared" si="58"/>
        <v> </v>
      </c>
      <c r="I493" s="31" t="str">
        <f>IF(H493=" "," ",($I$26-$D$3*$F$13)*((H493/$F$13)-($C$18/(PI()))*SIN((PI()*H493)/$F$13))+$D$3*H493)</f>
        <v> </v>
      </c>
      <c r="J493" s="31" t="str">
        <f t="shared" si="62"/>
        <v> </v>
      </c>
      <c r="K493" s="31" t="str">
        <f t="shared" si="59"/>
        <v> </v>
      </c>
      <c r="L493" s="31" t="str">
        <f>IF(K493=" "," ",($L$26-$D$3*$F$12)*((K493/$F$12)-($C$18/(PI()))*SIN((PI()*K493)/$F$12))+$D$3*K493)</f>
        <v> </v>
      </c>
      <c r="M493" s="31" t="str">
        <f t="shared" si="63"/>
        <v> </v>
      </c>
    </row>
    <row r="494" spans="1:13">
      <c r="A494" s="31" t="str">
        <f t="shared" si="56"/>
        <v> </v>
      </c>
      <c r="B494" s="31" t="str">
        <f>IF(A494=" "," ",($B$26-$B$3*($F$9))*((A494/($F$9))-($C$18/(PI()))*SIN((PI()*A494)/($F$9)))+$B$3*A494)</f>
        <v> </v>
      </c>
      <c r="C494" s="31" t="str">
        <f t="shared" si="60"/>
        <v> </v>
      </c>
      <c r="D494" s="31" t="str">
        <f t="shared" si="57"/>
        <v> </v>
      </c>
      <c r="E494" s="31" t="str">
        <f>IF(D494=" "," ",($E$26-$B$3*($F$8))*((D494/($F$8))-($C$18/(PI()))*SIN((PI()*D494)/($F$8)))+$B$3*D494)</f>
        <v> </v>
      </c>
      <c r="F494" s="31" t="str">
        <f t="shared" si="61"/>
        <v> </v>
      </c>
      <c r="G494" s="31"/>
      <c r="H494" s="31" t="str">
        <f t="shared" si="58"/>
        <v> </v>
      </c>
      <c r="I494" s="31" t="str">
        <f>IF(H494=" "," ",($I$26-$D$3*$F$13)*((H494/$F$13)-($C$18/(PI()))*SIN((PI()*H494)/$F$13))+$D$3*H494)</f>
        <v> </v>
      </c>
      <c r="J494" s="31" t="str">
        <f t="shared" si="62"/>
        <v> </v>
      </c>
      <c r="K494" s="31" t="str">
        <f t="shared" si="59"/>
        <v> </v>
      </c>
      <c r="L494" s="31" t="str">
        <f>IF(K494=" "," ",($L$26-$D$3*$F$12)*((K494/$F$12)-($C$18/(PI()))*SIN((PI()*K494)/$F$12))+$D$3*K494)</f>
        <v> </v>
      </c>
      <c r="M494" s="31" t="str">
        <f t="shared" si="63"/>
        <v> </v>
      </c>
    </row>
    <row r="495" spans="1:13">
      <c r="A495" s="31" t="str">
        <f t="shared" si="56"/>
        <v> </v>
      </c>
      <c r="B495" s="31" t="str">
        <f>IF(A495=" "," ",($B$26-$B$3*($F$9))*((A495/($F$9))-($C$18/(PI()))*SIN((PI()*A495)/($F$9)))+$B$3*A495)</f>
        <v> </v>
      </c>
      <c r="C495" s="31" t="str">
        <f t="shared" si="60"/>
        <v> </v>
      </c>
      <c r="D495" s="31" t="str">
        <f t="shared" si="57"/>
        <v> </v>
      </c>
      <c r="E495" s="31" t="str">
        <f>IF(D495=" "," ",($E$26-$B$3*($F$8))*((D495/($F$8))-($C$18/(PI()))*SIN((PI()*D495)/($F$8)))+$B$3*D495)</f>
        <v> </v>
      </c>
      <c r="F495" s="31" t="str">
        <f t="shared" si="61"/>
        <v> </v>
      </c>
      <c r="G495" s="31"/>
      <c r="H495" s="31" t="str">
        <f t="shared" si="58"/>
        <v> </v>
      </c>
      <c r="I495" s="31" t="str">
        <f>IF(H495=" "," ",($I$26-$D$3*$F$13)*((H495/$F$13)-($C$18/(PI()))*SIN((PI()*H495)/$F$13))+$D$3*H495)</f>
        <v> </v>
      </c>
      <c r="J495" s="31" t="str">
        <f t="shared" si="62"/>
        <v> </v>
      </c>
      <c r="K495" s="31" t="str">
        <f t="shared" si="59"/>
        <v> </v>
      </c>
      <c r="L495" s="31" t="str">
        <f>IF(K495=" "," ",($L$26-$D$3*$F$12)*((K495/$F$12)-($C$18/(PI()))*SIN((PI()*K495)/$F$12))+$D$3*K495)</f>
        <v> </v>
      </c>
      <c r="M495" s="31" t="str">
        <f t="shared" si="63"/>
        <v> </v>
      </c>
    </row>
    <row r="496" spans="1:13">
      <c r="A496" s="31" t="str">
        <f t="shared" si="56"/>
        <v> </v>
      </c>
      <c r="B496" s="31" t="str">
        <f>IF(A496=" "," ",($B$26-$B$3*($F$9))*((A496/($F$9))-($C$18/(PI()))*SIN((PI()*A496)/($F$9)))+$B$3*A496)</f>
        <v> </v>
      </c>
      <c r="C496" s="31" t="str">
        <f t="shared" si="60"/>
        <v> </v>
      </c>
      <c r="D496" s="31" t="str">
        <f t="shared" si="57"/>
        <v> </v>
      </c>
      <c r="E496" s="31" t="str">
        <f>IF(D496=" "," ",($E$26-$B$3*($F$8))*((D496/($F$8))-($C$18/(PI()))*SIN((PI()*D496)/($F$8)))+$B$3*D496)</f>
        <v> </v>
      </c>
      <c r="F496" s="31" t="str">
        <f t="shared" si="61"/>
        <v> </v>
      </c>
      <c r="G496" s="31"/>
      <c r="H496" s="31" t="str">
        <f t="shared" si="58"/>
        <v> </v>
      </c>
      <c r="I496" s="31" t="str">
        <f>IF(H496=" "," ",($I$26-$D$3*$F$13)*((H496/$F$13)-($C$18/(PI()))*SIN((PI()*H496)/$F$13))+$D$3*H496)</f>
        <v> </v>
      </c>
      <c r="J496" s="31" t="str">
        <f t="shared" si="62"/>
        <v> </v>
      </c>
      <c r="K496" s="31" t="str">
        <f t="shared" si="59"/>
        <v> </v>
      </c>
      <c r="L496" s="31" t="str">
        <f>IF(K496=" "," ",($L$26-$D$3*$F$12)*((K496/$F$12)-($C$18/(PI()))*SIN((PI()*K496)/$F$12))+$D$3*K496)</f>
        <v> </v>
      </c>
      <c r="M496" s="31" t="str">
        <f t="shared" si="63"/>
        <v> </v>
      </c>
    </row>
    <row r="497" spans="1:13">
      <c r="A497" s="31" t="str">
        <f t="shared" si="56"/>
        <v> </v>
      </c>
      <c r="B497" s="31" t="str">
        <f>IF(A497=" "," ",($B$26-$B$3*($F$9))*((A497/($F$9))-($C$18/(PI()))*SIN((PI()*A497)/($F$9)))+$B$3*A497)</f>
        <v> </v>
      </c>
      <c r="C497" s="31" t="str">
        <f t="shared" si="60"/>
        <v> </v>
      </c>
      <c r="D497" s="31" t="str">
        <f t="shared" si="57"/>
        <v> </v>
      </c>
      <c r="E497" s="31" t="str">
        <f>IF(D497=" "," ",($E$26-$B$3*($F$8))*((D497/($F$8))-($C$18/(PI()))*SIN((PI()*D497)/($F$8)))+$B$3*D497)</f>
        <v> </v>
      </c>
      <c r="F497" s="31" t="str">
        <f t="shared" si="61"/>
        <v> </v>
      </c>
      <c r="G497" s="31"/>
      <c r="H497" s="31" t="str">
        <f t="shared" si="58"/>
        <v> </v>
      </c>
      <c r="I497" s="31" t="str">
        <f>IF(H497=" "," ",($I$26-$D$3*$F$13)*((H497/$F$13)-($C$18/(PI()))*SIN((PI()*H497)/$F$13))+$D$3*H497)</f>
        <v> </v>
      </c>
      <c r="J497" s="31" t="str">
        <f t="shared" si="62"/>
        <v> </v>
      </c>
      <c r="K497" s="31" t="str">
        <f t="shared" si="59"/>
        <v> </v>
      </c>
      <c r="L497" s="31" t="str">
        <f>IF(K497=" "," ",($L$26-$D$3*$F$12)*((K497/$F$12)-($C$18/(PI()))*SIN((PI()*K497)/$F$12))+$D$3*K497)</f>
        <v> </v>
      </c>
      <c r="M497" s="31" t="str">
        <f t="shared" si="63"/>
        <v> </v>
      </c>
    </row>
    <row r="498" spans="1:13">
      <c r="A498" s="31" t="str">
        <f t="shared" si="56"/>
        <v> </v>
      </c>
      <c r="B498" s="31" t="str">
        <f>IF(A498=" "," ",($B$26-$B$3*($F$9))*((A498/($F$9))-($C$18/(PI()))*SIN((PI()*A498)/($F$9)))+$B$3*A498)</f>
        <v> </v>
      </c>
      <c r="C498" s="31" t="str">
        <f t="shared" si="60"/>
        <v> </v>
      </c>
      <c r="D498" s="31" t="str">
        <f t="shared" si="57"/>
        <v> </v>
      </c>
      <c r="E498" s="31" t="str">
        <f>IF(D498=" "," ",($E$26-$B$3*($F$8))*((D498/($F$8))-($C$18/(PI()))*SIN((PI()*D498)/($F$8)))+$B$3*D498)</f>
        <v> </v>
      </c>
      <c r="F498" s="31" t="str">
        <f t="shared" si="61"/>
        <v> </v>
      </c>
      <c r="G498" s="31"/>
      <c r="H498" s="31" t="str">
        <f t="shared" si="58"/>
        <v> </v>
      </c>
      <c r="I498" s="31" t="str">
        <f>IF(H498=" "," ",($I$26-$D$3*$F$13)*((H498/$F$13)-($C$18/(PI()))*SIN((PI()*H498)/$F$13))+$D$3*H498)</f>
        <v> </v>
      </c>
      <c r="J498" s="31" t="str">
        <f t="shared" si="62"/>
        <v> </v>
      </c>
      <c r="K498" s="31" t="str">
        <f t="shared" si="59"/>
        <v> </v>
      </c>
      <c r="L498" s="31" t="str">
        <f>IF(K498=" "," ",($L$26-$D$3*$F$12)*((K498/$F$12)-($C$18/(PI()))*SIN((PI()*K498)/$F$12))+$D$3*K498)</f>
        <v> </v>
      </c>
      <c r="M498" s="31" t="str">
        <f t="shared" si="63"/>
        <v> </v>
      </c>
    </row>
    <row r="499" spans="1:13">
      <c r="A499" s="31" t="str">
        <f t="shared" si="56"/>
        <v> </v>
      </c>
      <c r="B499" s="31" t="str">
        <f>IF(A499=" "," ",($B$26-$B$3*($F$9))*((A499/($F$9))-($C$18/(PI()))*SIN((PI()*A499)/($F$9)))+$B$3*A499)</f>
        <v> </v>
      </c>
      <c r="C499" s="31" t="str">
        <f t="shared" si="60"/>
        <v> </v>
      </c>
      <c r="D499" s="31" t="str">
        <f t="shared" si="57"/>
        <v> </v>
      </c>
      <c r="E499" s="31" t="str">
        <f>IF(D499=" "," ",($E$26-$B$3*($F$8))*((D499/($F$8))-($C$18/(PI()))*SIN((PI()*D499)/($F$8)))+$B$3*D499)</f>
        <v> </v>
      </c>
      <c r="F499" s="31" t="str">
        <f t="shared" si="61"/>
        <v> </v>
      </c>
      <c r="G499" s="31"/>
      <c r="H499" s="31" t="str">
        <f t="shared" si="58"/>
        <v> </v>
      </c>
      <c r="I499" s="31" t="str">
        <f>IF(H499=" "," ",($I$26-$D$3*$F$13)*((H499/$F$13)-($C$18/(PI()))*SIN((PI()*H499)/$F$13))+$D$3*H499)</f>
        <v> </v>
      </c>
      <c r="J499" s="31" t="str">
        <f t="shared" si="62"/>
        <v> </v>
      </c>
      <c r="K499" s="31" t="str">
        <f t="shared" si="59"/>
        <v> </v>
      </c>
      <c r="L499" s="31" t="str">
        <f>IF(K499=" "," ",($L$26-$D$3*$F$12)*((K499/$F$12)-($C$18/(PI()))*SIN((PI()*K499)/$F$12))+$D$3*K499)</f>
        <v> </v>
      </c>
      <c r="M499" s="31" t="str">
        <f t="shared" si="63"/>
        <v> </v>
      </c>
    </row>
    <row r="500" spans="1:13">
      <c r="A500" s="31" t="str">
        <f t="shared" si="56"/>
        <v> </v>
      </c>
      <c r="B500" s="31" t="str">
        <f>IF(A500=" "," ",($B$26-$B$3*($F$9))*((A500/($F$9))-($C$18/(PI()))*SIN((PI()*A500)/($F$9)))+$B$3*A500)</f>
        <v> </v>
      </c>
      <c r="C500" s="31" t="str">
        <f t="shared" si="60"/>
        <v> </v>
      </c>
      <c r="D500" s="31" t="str">
        <f t="shared" si="57"/>
        <v> </v>
      </c>
      <c r="E500" s="31" t="str">
        <f>IF(D500=" "," ",($E$26-$B$3*($F$8))*((D500/($F$8))-($C$18/(PI()))*SIN((PI()*D500)/($F$8)))+$B$3*D500)</f>
        <v> </v>
      </c>
      <c r="F500" s="31" t="str">
        <f t="shared" si="61"/>
        <v> </v>
      </c>
      <c r="G500" s="31"/>
      <c r="H500" s="31" t="str">
        <f t="shared" si="58"/>
        <v> </v>
      </c>
      <c r="I500" s="31" t="str">
        <f>IF(H500=" "," ",($I$26-$D$3*$F$13)*((H500/$F$13)-($C$18/(PI()))*SIN((PI()*H500)/$F$13))+$D$3*H500)</f>
        <v> </v>
      </c>
      <c r="J500" s="31" t="str">
        <f t="shared" si="62"/>
        <v> </v>
      </c>
      <c r="K500" s="31" t="str">
        <f t="shared" si="59"/>
        <v> </v>
      </c>
      <c r="L500" s="31" t="str">
        <f>IF(K500=" "," ",($L$26-$D$3*$F$12)*((K500/$F$12)-($C$18/(PI()))*SIN((PI()*K500)/$F$12))+$D$3*K500)</f>
        <v> </v>
      </c>
      <c r="M500" s="31" t="str">
        <f t="shared" si="63"/>
        <v> </v>
      </c>
    </row>
    <row r="501" spans="1:13">
      <c r="A501" s="31" t="str">
        <f t="shared" si="56"/>
        <v> </v>
      </c>
      <c r="B501" s="31" t="str">
        <f>IF(A501=" "," ",($B$26-$B$3*($F$9))*((A501/($F$9))-($C$18/(PI()))*SIN((PI()*A501)/($F$9)))+$B$3*A501)</f>
        <v> </v>
      </c>
      <c r="C501" s="31" t="str">
        <f t="shared" si="60"/>
        <v> </v>
      </c>
      <c r="D501" s="31" t="str">
        <f t="shared" si="57"/>
        <v> </v>
      </c>
      <c r="E501" s="31" t="str">
        <f>IF(D501=" "," ",($E$26-$B$3*($F$8))*((D501/($F$8))-($C$18/(PI()))*SIN((PI()*D501)/($F$8)))+$B$3*D501)</f>
        <v> </v>
      </c>
      <c r="F501" s="31" t="str">
        <f t="shared" si="61"/>
        <v> </v>
      </c>
      <c r="G501" s="31"/>
      <c r="H501" s="31" t="str">
        <f t="shared" si="58"/>
        <v> </v>
      </c>
      <c r="I501" s="31" t="str">
        <f>IF(H501=" "," ",($I$26-$D$3*$F$13)*((H501/$F$13)-($C$18/(PI()))*SIN((PI()*H501)/$F$13))+$D$3*H501)</f>
        <v> </v>
      </c>
      <c r="J501" s="31" t="str">
        <f t="shared" si="62"/>
        <v> </v>
      </c>
      <c r="K501" s="31" t="str">
        <f t="shared" si="59"/>
        <v> </v>
      </c>
      <c r="L501" s="31" t="str">
        <f>IF(K501=" "," ",($L$26-$D$3*$F$12)*((K501/$F$12)-($C$18/(PI()))*SIN((PI()*K501)/$F$12))+$D$3*K501)</f>
        <v> </v>
      </c>
      <c r="M501" s="31" t="str">
        <f t="shared" si="63"/>
        <v> </v>
      </c>
    </row>
    <row r="502" spans="1:13">
      <c r="A502" s="31" t="str">
        <f t="shared" si="56"/>
        <v> </v>
      </c>
      <c r="B502" s="31" t="str">
        <f>IF(A502=" "," ",($B$26-$B$3*($F$9))*((A502/($F$9))-($C$18/(PI()))*SIN((PI()*A502)/($F$9)))+$B$3*A502)</f>
        <v> </v>
      </c>
      <c r="C502" s="31" t="str">
        <f t="shared" si="60"/>
        <v> </v>
      </c>
      <c r="D502" s="31" t="str">
        <f t="shared" si="57"/>
        <v> </v>
      </c>
      <c r="E502" s="31" t="str">
        <f>IF(D502=" "," ",($E$26-$B$3*($F$8))*((D502/($F$8))-($C$18/(PI()))*SIN((PI()*D502)/($F$8)))+$B$3*D502)</f>
        <v> </v>
      </c>
      <c r="F502" s="31" t="str">
        <f t="shared" si="61"/>
        <v> </v>
      </c>
      <c r="G502" s="31"/>
      <c r="H502" s="31" t="str">
        <f t="shared" si="58"/>
        <v> </v>
      </c>
      <c r="I502" s="31" t="str">
        <f>IF(H502=" "," ",($I$26-$D$3*$F$13)*((H502/$F$13)-($C$18/(PI()))*SIN((PI()*H502)/$F$13))+$D$3*H502)</f>
        <v> </v>
      </c>
      <c r="J502" s="31" t="str">
        <f t="shared" si="62"/>
        <v> </v>
      </c>
      <c r="K502" s="31" t="str">
        <f t="shared" si="59"/>
        <v> </v>
      </c>
      <c r="L502" s="31" t="str">
        <f>IF(K502=" "," ",($L$26-$D$3*$F$12)*((K502/$F$12)-($C$18/(PI()))*SIN((PI()*K502)/$F$12))+$D$3*K502)</f>
        <v> </v>
      </c>
      <c r="M502" s="31" t="str">
        <f t="shared" si="63"/>
        <v> </v>
      </c>
    </row>
    <row r="503" spans="1:13">
      <c r="A503" s="31" t="str">
        <f t="shared" si="56"/>
        <v> </v>
      </c>
      <c r="B503" s="31" t="str">
        <f>IF(A503=" "," ",($B$26-$B$3*($F$9))*((A503/($F$9))-($C$18/(PI()))*SIN((PI()*A503)/($F$9)))+$B$3*A503)</f>
        <v> </v>
      </c>
      <c r="C503" s="31" t="str">
        <f t="shared" si="60"/>
        <v> </v>
      </c>
      <c r="D503" s="31" t="str">
        <f t="shared" si="57"/>
        <v> </v>
      </c>
      <c r="E503" s="31" t="str">
        <f>IF(D503=" "," ",($E$26-$B$3*($F$8))*((D503/($F$8))-($C$18/(PI()))*SIN((PI()*D503)/($F$8)))+$B$3*D503)</f>
        <v> </v>
      </c>
      <c r="F503" s="31" t="str">
        <f t="shared" si="61"/>
        <v> </v>
      </c>
      <c r="G503" s="31"/>
      <c r="H503" s="31" t="str">
        <f t="shared" si="58"/>
        <v> </v>
      </c>
      <c r="I503" s="31" t="str">
        <f>IF(H503=" "," ",($I$26-$D$3*$F$13)*((H503/$F$13)-($C$18/(PI()))*SIN((PI()*H503)/$F$13))+$D$3*H503)</f>
        <v> </v>
      </c>
      <c r="J503" s="31" t="str">
        <f t="shared" si="62"/>
        <v> </v>
      </c>
      <c r="K503" s="31" t="str">
        <f t="shared" si="59"/>
        <v> </v>
      </c>
      <c r="L503" s="31" t="str">
        <f>IF(K503=" "," ",($L$26-$D$3*$F$12)*((K503/$F$12)-($C$18/(PI()))*SIN((PI()*K503)/$F$12))+$D$3*K503)</f>
        <v> </v>
      </c>
      <c r="M503" s="31" t="str">
        <f t="shared" si="63"/>
        <v> </v>
      </c>
    </row>
    <row r="504" spans="1:13">
      <c r="A504" s="31" t="str">
        <f t="shared" si="56"/>
        <v> </v>
      </c>
      <c r="B504" s="31" t="str">
        <f>IF(A504=" "," ",($B$26-$B$3*($F$9))*((A504/($F$9))-($C$18/(PI()))*SIN((PI()*A504)/($F$9)))+$B$3*A504)</f>
        <v> </v>
      </c>
      <c r="C504" s="31" t="str">
        <f t="shared" si="60"/>
        <v> </v>
      </c>
      <c r="D504" s="31" t="str">
        <f t="shared" si="57"/>
        <v> </v>
      </c>
      <c r="E504" s="31" t="str">
        <f>IF(D504=" "," ",($E$26-$B$3*($F$8))*((D504/($F$8))-($C$18/(PI()))*SIN((PI()*D504)/($F$8)))+$B$3*D504)</f>
        <v> </v>
      </c>
      <c r="F504" s="31" t="str">
        <f t="shared" si="61"/>
        <v> </v>
      </c>
      <c r="G504" s="31"/>
      <c r="H504" s="31" t="str">
        <f t="shared" si="58"/>
        <v> </v>
      </c>
      <c r="I504" s="31" t="str">
        <f>IF(H504=" "," ",($I$26-$D$3*$F$13)*((H504/$F$13)-($C$18/(PI()))*SIN((PI()*H504)/$F$13))+$D$3*H504)</f>
        <v> </v>
      </c>
      <c r="J504" s="31" t="str">
        <f t="shared" si="62"/>
        <v> </v>
      </c>
      <c r="K504" s="31" t="str">
        <f t="shared" si="59"/>
        <v> </v>
      </c>
      <c r="L504" s="31" t="str">
        <f>IF(K504=" "," ",($L$26-$D$3*$F$12)*((K504/$F$12)-($C$18/(PI()))*SIN((PI()*K504)/$F$12))+$D$3*K504)</f>
        <v> </v>
      </c>
      <c r="M504" s="31" t="str">
        <f t="shared" si="63"/>
        <v> </v>
      </c>
    </row>
    <row r="505" spans="1:13">
      <c r="A505" s="31" t="str">
        <f t="shared" si="56"/>
        <v> </v>
      </c>
      <c r="B505" s="31" t="str">
        <f>IF(A505=" "," ",($B$26-$B$3*($F$9))*((A505/($F$9))-($C$18/(PI()))*SIN((PI()*A505)/($F$9)))+$B$3*A505)</f>
        <v> </v>
      </c>
      <c r="C505" s="31" t="str">
        <f t="shared" si="60"/>
        <v> </v>
      </c>
      <c r="D505" s="31" t="str">
        <f t="shared" si="57"/>
        <v> </v>
      </c>
      <c r="E505" s="31" t="str">
        <f>IF(D505=" "," ",($E$26-$B$3*($F$8))*((D505/($F$8))-($C$18/(PI()))*SIN((PI()*D505)/($F$8)))+$B$3*D505)</f>
        <v> </v>
      </c>
      <c r="F505" s="31" t="str">
        <f t="shared" si="61"/>
        <v> </v>
      </c>
      <c r="G505" s="31"/>
      <c r="H505" s="31" t="str">
        <f t="shared" si="58"/>
        <v> </v>
      </c>
      <c r="I505" s="31" t="str">
        <f>IF(H505=" "," ",($I$26-$D$3*$F$13)*((H505/$F$13)-($C$18/(PI()))*SIN((PI()*H505)/$F$13))+$D$3*H505)</f>
        <v> </v>
      </c>
      <c r="J505" s="31" t="str">
        <f t="shared" si="62"/>
        <v> </v>
      </c>
      <c r="K505" s="31" t="str">
        <f t="shared" si="59"/>
        <v> </v>
      </c>
      <c r="L505" s="31" t="str">
        <f>IF(K505=" "," ",($L$26-$D$3*$F$12)*((K505/$F$12)-($C$18/(PI()))*SIN((PI()*K505)/$F$12))+$D$3*K505)</f>
        <v> </v>
      </c>
      <c r="M505" s="31" t="str">
        <f t="shared" si="63"/>
        <v> </v>
      </c>
    </row>
    <row r="506" spans="1:13">
      <c r="A506" s="31" t="str">
        <f t="shared" si="56"/>
        <v> </v>
      </c>
      <c r="B506" s="31" t="str">
        <f>IF(A506=" "," ",($B$26-$B$3*($F$9))*((A506/($F$9))-($C$18/(PI()))*SIN((PI()*A506)/($F$9)))+$B$3*A506)</f>
        <v> </v>
      </c>
      <c r="C506" s="31" t="str">
        <f t="shared" si="60"/>
        <v> </v>
      </c>
      <c r="D506" s="31" t="str">
        <f t="shared" si="57"/>
        <v> </v>
      </c>
      <c r="E506" s="31" t="str">
        <f>IF(D506=" "," ",($E$26-$B$3*($F$8))*((D506/($F$8))-($C$18/(PI()))*SIN((PI()*D506)/($F$8)))+$B$3*D506)</f>
        <v> </v>
      </c>
      <c r="F506" s="31" t="str">
        <f t="shared" si="61"/>
        <v> </v>
      </c>
      <c r="G506" s="31"/>
      <c r="H506" s="31" t="str">
        <f t="shared" si="58"/>
        <v> </v>
      </c>
      <c r="I506" s="31" t="str">
        <f>IF(H506=" "," ",($I$26-$D$3*$F$13)*((H506/$F$13)-($C$18/(PI()))*SIN((PI()*H506)/$F$13))+$D$3*H506)</f>
        <v> </v>
      </c>
      <c r="J506" s="31" t="str">
        <f t="shared" si="62"/>
        <v> </v>
      </c>
      <c r="K506" s="31" t="str">
        <f t="shared" si="59"/>
        <v> </v>
      </c>
      <c r="L506" s="31" t="str">
        <f>IF(K506=" "," ",($L$26-$D$3*$F$12)*((K506/$F$12)-($C$18/(PI()))*SIN((PI()*K506)/$F$12))+$D$3*K506)</f>
        <v> </v>
      </c>
      <c r="M506" s="31" t="str">
        <f t="shared" si="63"/>
        <v> </v>
      </c>
    </row>
    <row r="507" spans="1:13">
      <c r="A507" s="31" t="str">
        <f t="shared" si="56"/>
        <v> </v>
      </c>
      <c r="B507" s="31" t="str">
        <f>IF(A507=" "," ",($B$26-$B$3*($F$9))*((A507/($F$9))-($C$18/(PI()))*SIN((PI()*A507)/($F$9)))+$B$3*A507)</f>
        <v> </v>
      </c>
      <c r="C507" s="31" t="str">
        <f t="shared" si="60"/>
        <v> </v>
      </c>
      <c r="D507" s="31" t="str">
        <f t="shared" si="57"/>
        <v> </v>
      </c>
      <c r="E507" s="31" t="str">
        <f>IF(D507=" "," ",($E$26-$B$3*($F$8))*((D507/($F$8))-($C$18/(PI()))*SIN((PI()*D507)/($F$8)))+$B$3*D507)</f>
        <v> </v>
      </c>
      <c r="F507" s="31" t="str">
        <f t="shared" si="61"/>
        <v> </v>
      </c>
      <c r="G507" s="31"/>
      <c r="H507" s="31" t="str">
        <f t="shared" si="58"/>
        <v> </v>
      </c>
      <c r="I507" s="31" t="str">
        <f>IF(H507=" "," ",($I$26-$D$3*$F$13)*((H507/$F$13)-($C$18/(PI()))*SIN((PI()*H507)/$F$13))+$D$3*H507)</f>
        <v> </v>
      </c>
      <c r="J507" s="31" t="str">
        <f t="shared" si="62"/>
        <v> </v>
      </c>
      <c r="K507" s="31" t="str">
        <f t="shared" si="59"/>
        <v> </v>
      </c>
      <c r="L507" s="31" t="str">
        <f>IF(K507=" "," ",($L$26-$D$3*$F$12)*((K507/$F$12)-($C$18/(PI()))*SIN((PI()*K507)/$F$12))+$D$3*K507)</f>
        <v> </v>
      </c>
      <c r="M507" s="31" t="str">
        <f t="shared" si="63"/>
        <v> </v>
      </c>
    </row>
    <row r="508" spans="1:13">
      <c r="A508" s="31" t="str">
        <f t="shared" si="56"/>
        <v> </v>
      </c>
      <c r="B508" s="31" t="str">
        <f>IF(A508=" "," ",($B$26-$B$3*($F$9))*((A508/($F$9))-($C$18/(PI()))*SIN((PI()*A508)/($F$9)))+$B$3*A508)</f>
        <v> </v>
      </c>
      <c r="C508" s="31" t="str">
        <f t="shared" si="60"/>
        <v> </v>
      </c>
      <c r="D508" s="31" t="str">
        <f t="shared" si="57"/>
        <v> </v>
      </c>
      <c r="E508" s="31" t="str">
        <f>IF(D508=" "," ",($E$26-$B$3*($F$8))*((D508/($F$8))-($C$18/(PI()))*SIN((PI()*D508)/($F$8)))+$B$3*D508)</f>
        <v> </v>
      </c>
      <c r="F508" s="31" t="str">
        <f t="shared" si="61"/>
        <v> </v>
      </c>
      <c r="G508" s="31"/>
      <c r="H508" s="31" t="str">
        <f t="shared" si="58"/>
        <v> </v>
      </c>
      <c r="I508" s="31" t="str">
        <f>IF(H508=" "," ",($I$26-$D$3*$F$13)*((H508/$F$13)-($C$18/(PI()))*SIN((PI()*H508)/$F$13))+$D$3*H508)</f>
        <v> </v>
      </c>
      <c r="J508" s="31" t="str">
        <f t="shared" si="62"/>
        <v> </v>
      </c>
      <c r="K508" s="31" t="str">
        <f t="shared" si="59"/>
        <v> </v>
      </c>
      <c r="L508" s="31" t="str">
        <f>IF(K508=" "," ",($L$26-$D$3*$F$12)*((K508/$F$12)-($C$18/(PI()))*SIN((PI()*K508)/$F$12))+$D$3*K508)</f>
        <v> </v>
      </c>
      <c r="M508" s="31" t="str">
        <f t="shared" si="63"/>
        <v> </v>
      </c>
    </row>
    <row r="509" spans="1:13">
      <c r="A509" s="31" t="str">
        <f t="shared" si="56"/>
        <v> </v>
      </c>
      <c r="B509" s="31" t="str">
        <f>IF(A509=" "," ",($B$26-$B$3*($F$9))*((A509/($F$9))-($C$18/(PI()))*SIN((PI()*A509)/($F$9)))+$B$3*A509)</f>
        <v> </v>
      </c>
      <c r="C509" s="31" t="str">
        <f t="shared" si="60"/>
        <v> </v>
      </c>
      <c r="D509" s="31" t="str">
        <f t="shared" si="57"/>
        <v> </v>
      </c>
      <c r="E509" s="31" t="str">
        <f>IF(D509=" "," ",($E$26-$B$3*($F$8))*((D509/($F$8))-($C$18/(PI()))*SIN((PI()*D509)/($F$8)))+$B$3*D509)</f>
        <v> </v>
      </c>
      <c r="F509" s="31" t="str">
        <f t="shared" si="61"/>
        <v> </v>
      </c>
      <c r="G509" s="31"/>
      <c r="H509" s="31" t="str">
        <f t="shared" si="58"/>
        <v> </v>
      </c>
      <c r="I509" s="31" t="str">
        <f>IF(H509=" "," ",($I$26-$D$3*$F$13)*((H509/$F$13)-($C$18/(PI()))*SIN((PI()*H509)/$F$13))+$D$3*H509)</f>
        <v> </v>
      </c>
      <c r="J509" s="31" t="str">
        <f t="shared" si="62"/>
        <v> </v>
      </c>
      <c r="K509" s="31" t="str">
        <f t="shared" si="59"/>
        <v> </v>
      </c>
      <c r="L509" s="31" t="str">
        <f>IF(K509=" "," ",($L$26-$D$3*$F$12)*((K509/$F$12)-($C$18/(PI()))*SIN((PI()*K509)/$F$12))+$D$3*K509)</f>
        <v> </v>
      </c>
      <c r="M509" s="31" t="str">
        <f t="shared" si="63"/>
        <v> </v>
      </c>
    </row>
    <row r="510" spans="1:13">
      <c r="A510" s="31" t="str">
        <f t="shared" si="56"/>
        <v> </v>
      </c>
      <c r="B510" s="31" t="str">
        <f>IF(A510=" "," ",($B$26-$B$3*($F$9))*((A510/($F$9))-($C$18/(PI()))*SIN((PI()*A510)/($F$9)))+$B$3*A510)</f>
        <v> </v>
      </c>
      <c r="C510" s="31" t="str">
        <f t="shared" si="60"/>
        <v> </v>
      </c>
      <c r="D510" s="31" t="str">
        <f t="shared" si="57"/>
        <v> </v>
      </c>
      <c r="E510" s="31" t="str">
        <f>IF(D510=" "," ",($E$26-$B$3*($F$8))*((D510/($F$8))-($C$18/(PI()))*SIN((PI()*D510)/($F$8)))+$B$3*D510)</f>
        <v> </v>
      </c>
      <c r="F510" s="31" t="str">
        <f t="shared" si="61"/>
        <v> </v>
      </c>
      <c r="G510" s="31"/>
      <c r="H510" s="31" t="str">
        <f t="shared" si="58"/>
        <v> </v>
      </c>
      <c r="I510" s="31" t="str">
        <f>IF(H510=" "," ",($I$26-$D$3*$F$13)*((H510/$F$13)-($C$18/(PI()))*SIN((PI()*H510)/$F$13))+$D$3*H510)</f>
        <v> </v>
      </c>
      <c r="J510" s="31" t="str">
        <f t="shared" si="62"/>
        <v> </v>
      </c>
      <c r="K510" s="31" t="str">
        <f t="shared" si="59"/>
        <v> </v>
      </c>
      <c r="L510" s="31" t="str">
        <f>IF(K510=" "," ",($L$26-$D$3*$F$12)*((K510/$F$12)-($C$18/(PI()))*SIN((PI()*K510)/$F$12))+$D$3*K510)</f>
        <v> </v>
      </c>
      <c r="M510" s="31" t="str">
        <f t="shared" si="63"/>
        <v> </v>
      </c>
    </row>
    <row r="511" spans="1:13">
      <c r="A511" s="31" t="str">
        <f t="shared" si="56"/>
        <v> </v>
      </c>
      <c r="B511" s="31" t="str">
        <f>IF(A511=" "," ",($B$26-$B$3*($F$9))*((A511/($F$9))-($C$18/(PI()))*SIN((PI()*A511)/($F$9)))+$B$3*A511)</f>
        <v> </v>
      </c>
      <c r="C511" s="31" t="str">
        <f t="shared" si="60"/>
        <v> </v>
      </c>
      <c r="D511" s="31" t="str">
        <f t="shared" si="57"/>
        <v> </v>
      </c>
      <c r="E511" s="31" t="str">
        <f>IF(D511=" "," ",($E$26-$B$3*($F$8))*((D511/($F$8))-($C$18/(PI()))*SIN((PI()*D511)/($F$8)))+$B$3*D511)</f>
        <v> </v>
      </c>
      <c r="F511" s="31" t="str">
        <f t="shared" si="61"/>
        <v> </v>
      </c>
      <c r="G511" s="31"/>
      <c r="H511" s="31" t="str">
        <f t="shared" si="58"/>
        <v> </v>
      </c>
      <c r="I511" s="31" t="str">
        <f>IF(H511=" "," ",($I$26-$D$3*$F$13)*((H511/$F$13)-($C$18/(PI()))*SIN((PI()*H511)/$F$13))+$D$3*H511)</f>
        <v> </v>
      </c>
      <c r="J511" s="31" t="str">
        <f t="shared" si="62"/>
        <v> </v>
      </c>
      <c r="K511" s="31" t="str">
        <f t="shared" si="59"/>
        <v> </v>
      </c>
      <c r="L511" s="31" t="str">
        <f>IF(K511=" "," ",($L$26-$D$3*$F$12)*((K511/$F$12)-($C$18/(PI()))*SIN((PI()*K511)/$F$12))+$D$3*K511)</f>
        <v> </v>
      </c>
      <c r="M511" s="31" t="str">
        <f t="shared" si="63"/>
        <v> </v>
      </c>
    </row>
    <row r="512" spans="1:13">
      <c r="A512" s="31" t="str">
        <f t="shared" si="56"/>
        <v> </v>
      </c>
      <c r="B512" s="31" t="str">
        <f>IF(A512=" "," ",($B$26-$B$3*($F$9))*((A512/($F$9))-($C$18/(PI()))*SIN((PI()*A512)/($F$9)))+$B$3*A512)</f>
        <v> </v>
      </c>
      <c r="C512" s="31" t="str">
        <f t="shared" si="60"/>
        <v> </v>
      </c>
      <c r="D512" s="31" t="str">
        <f t="shared" si="57"/>
        <v> </v>
      </c>
      <c r="E512" s="31" t="str">
        <f>IF(D512=" "," ",($E$26-$B$3*($F$8))*((D512/($F$8))-($C$18/(PI()))*SIN((PI()*D512)/($F$8)))+$B$3*D512)</f>
        <v> </v>
      </c>
      <c r="F512" s="31" t="str">
        <f t="shared" si="61"/>
        <v> </v>
      </c>
      <c r="G512" s="31"/>
      <c r="H512" s="31" t="str">
        <f t="shared" si="58"/>
        <v> </v>
      </c>
      <c r="I512" s="31" t="str">
        <f>IF(H512=" "," ",($I$26-$D$3*$F$13)*((H512/$F$13)-($C$18/(PI()))*SIN((PI()*H512)/$F$13))+$D$3*H512)</f>
        <v> </v>
      </c>
      <c r="J512" s="31" t="str">
        <f t="shared" si="62"/>
        <v> </v>
      </c>
      <c r="K512" s="31" t="str">
        <f t="shared" si="59"/>
        <v> </v>
      </c>
      <c r="L512" s="31" t="str">
        <f>IF(K512=" "," ",($L$26-$D$3*$F$12)*((K512/$F$12)-($C$18/(PI()))*SIN((PI()*K512)/$F$12))+$D$3*K512)</f>
        <v> </v>
      </c>
      <c r="M512" s="31" t="str">
        <f t="shared" si="63"/>
        <v> </v>
      </c>
    </row>
    <row r="513" spans="1:13">
      <c r="A513" s="31" t="str">
        <f t="shared" si="56"/>
        <v> </v>
      </c>
      <c r="B513" s="31" t="str">
        <f>IF(A513=" "," ",($B$26-$B$3*($F$9))*((A513/($F$9))-($C$18/(PI()))*SIN((PI()*A513)/($F$9)))+$B$3*A513)</f>
        <v> </v>
      </c>
      <c r="C513" s="31" t="str">
        <f t="shared" si="60"/>
        <v> </v>
      </c>
      <c r="D513" s="31" t="str">
        <f t="shared" si="57"/>
        <v> </v>
      </c>
      <c r="E513" s="31" t="str">
        <f>IF(D513=" "," ",($E$26-$B$3*($F$8))*((D513/($F$8))-($C$18/(PI()))*SIN((PI()*D513)/($F$8)))+$B$3*D513)</f>
        <v> </v>
      </c>
      <c r="F513" s="31" t="str">
        <f t="shared" si="61"/>
        <v> </v>
      </c>
      <c r="G513" s="31"/>
      <c r="H513" s="31" t="str">
        <f t="shared" si="58"/>
        <v> </v>
      </c>
      <c r="I513" s="31" t="str">
        <f>IF(H513=" "," ",($I$26-$D$3*$F$13)*((H513/$F$13)-($C$18/(PI()))*SIN((PI()*H513)/$F$13))+$D$3*H513)</f>
        <v> </v>
      </c>
      <c r="J513" s="31" t="str">
        <f t="shared" si="62"/>
        <v> </v>
      </c>
      <c r="K513" s="31" t="str">
        <f t="shared" si="59"/>
        <v> </v>
      </c>
      <c r="L513" s="31" t="str">
        <f>IF(K513=" "," ",($L$26-$D$3*$F$12)*((K513/$F$12)-($C$18/(PI()))*SIN((PI()*K513)/$F$12))+$D$3*K513)</f>
        <v> </v>
      </c>
      <c r="M513" s="31" t="str">
        <f t="shared" si="63"/>
        <v> </v>
      </c>
    </row>
    <row r="514" spans="1:13">
      <c r="A514" s="31" t="str">
        <f t="shared" si="56"/>
        <v> </v>
      </c>
      <c r="B514" s="31" t="str">
        <f>IF(A514=" "," ",($B$26-$B$3*($F$9))*((A514/($F$9))-($C$18/(PI()))*SIN((PI()*A514)/($F$9)))+$B$3*A514)</f>
        <v> </v>
      </c>
      <c r="C514" s="31" t="str">
        <f t="shared" si="60"/>
        <v> </v>
      </c>
      <c r="D514" s="31" t="str">
        <f t="shared" si="57"/>
        <v> </v>
      </c>
      <c r="E514" s="31" t="str">
        <f>IF(D514=" "," ",($E$26-$B$3*($F$8))*((D514/($F$8))-($C$18/(PI()))*SIN((PI()*D514)/($F$8)))+$B$3*D514)</f>
        <v> </v>
      </c>
      <c r="F514" s="31" t="str">
        <f t="shared" si="61"/>
        <v> </v>
      </c>
      <c r="G514" s="31"/>
      <c r="H514" s="31" t="str">
        <f t="shared" si="58"/>
        <v> </v>
      </c>
      <c r="I514" s="31" t="str">
        <f>IF(H514=" "," ",($I$26-$D$3*$F$13)*((H514/$F$13)-($C$18/(PI()))*SIN((PI()*H514)/$F$13))+$D$3*H514)</f>
        <v> </v>
      </c>
      <c r="J514" s="31" t="str">
        <f t="shared" si="62"/>
        <v> </v>
      </c>
      <c r="K514" s="31" t="str">
        <f t="shared" si="59"/>
        <v> </v>
      </c>
      <c r="L514" s="31" t="str">
        <f>IF(K514=" "," ",($L$26-$D$3*$F$12)*((K514/$F$12)-($C$18/(PI()))*SIN((PI()*K514)/$F$12))+$D$3*K514)</f>
        <v> </v>
      </c>
      <c r="M514" s="31" t="str">
        <f t="shared" si="63"/>
        <v> </v>
      </c>
    </row>
    <row r="515" spans="1:13">
      <c r="A515" s="31" t="str">
        <f t="shared" si="56"/>
        <v> </v>
      </c>
      <c r="B515" s="31" t="str">
        <f>IF(A515=" "," ",($B$26-$B$3*($F$9))*((A515/($F$9))-($C$18/(PI()))*SIN((PI()*A515)/($F$9)))+$B$3*A515)</f>
        <v> </v>
      </c>
      <c r="C515" s="31" t="str">
        <f t="shared" si="60"/>
        <v> </v>
      </c>
      <c r="D515" s="31" t="str">
        <f t="shared" si="57"/>
        <v> </v>
      </c>
      <c r="E515" s="31" t="str">
        <f>IF(D515=" "," ",($E$26-$B$3*($F$8))*((D515/($F$8))-($C$18/(PI()))*SIN((PI()*D515)/($F$8)))+$B$3*D515)</f>
        <v> </v>
      </c>
      <c r="F515" s="31" t="str">
        <f t="shared" si="61"/>
        <v> </v>
      </c>
      <c r="G515" s="31"/>
      <c r="H515" s="31" t="str">
        <f t="shared" si="58"/>
        <v> </v>
      </c>
      <c r="I515" s="31" t="str">
        <f>IF(H515=" "," ",($I$26-$D$3*$F$13)*((H515/$F$13)-($C$18/(PI()))*SIN((PI()*H515)/$F$13))+$D$3*H515)</f>
        <v> </v>
      </c>
      <c r="J515" s="31" t="str">
        <f t="shared" si="62"/>
        <v> </v>
      </c>
      <c r="K515" s="31" t="str">
        <f t="shared" si="59"/>
        <v> </v>
      </c>
      <c r="L515" s="31" t="str">
        <f>IF(K515=" "," ",($L$26-$D$3*$F$12)*((K515/$F$12)-($C$18/(PI()))*SIN((PI()*K515)/$F$12))+$D$3*K515)</f>
        <v> </v>
      </c>
      <c r="M515" s="31" t="str">
        <f t="shared" si="63"/>
        <v> </v>
      </c>
    </row>
    <row r="516" spans="1:13">
      <c r="A516" s="31" t="str">
        <f t="shared" si="56"/>
        <v> </v>
      </c>
      <c r="B516" s="31" t="str">
        <f>IF(A516=" "," ",($B$26-$B$3*($F$9))*((A516/($F$9))-($C$18/(PI()))*SIN((PI()*A516)/($F$9)))+$B$3*A516)</f>
        <v> </v>
      </c>
      <c r="C516" s="31" t="str">
        <f t="shared" si="60"/>
        <v> </v>
      </c>
      <c r="D516" s="31" t="str">
        <f t="shared" si="57"/>
        <v> </v>
      </c>
      <c r="E516" s="31" t="str">
        <f>IF(D516=" "," ",($E$26-$B$3*($F$8))*((D516/($F$8))-($C$18/(PI()))*SIN((PI()*D516)/($F$8)))+$B$3*D516)</f>
        <v> </v>
      </c>
      <c r="F516" s="31" t="str">
        <f t="shared" si="61"/>
        <v> </v>
      </c>
      <c r="G516" s="31"/>
      <c r="H516" s="31" t="str">
        <f t="shared" si="58"/>
        <v> </v>
      </c>
      <c r="I516" s="31" t="str">
        <f>IF(H516=" "," ",($I$26-$D$3*$F$13)*((H516/$F$13)-($C$18/(PI()))*SIN((PI()*H516)/$F$13))+$D$3*H516)</f>
        <v> </v>
      </c>
      <c r="J516" s="31" t="str">
        <f t="shared" si="62"/>
        <v> </v>
      </c>
      <c r="K516" s="31" t="str">
        <f t="shared" si="59"/>
        <v> </v>
      </c>
      <c r="L516" s="31" t="str">
        <f>IF(K516=" "," ",($L$26-$D$3*$F$12)*((K516/$F$12)-($C$18/(PI()))*SIN((PI()*K516)/$F$12))+$D$3*K516)</f>
        <v> </v>
      </c>
      <c r="M516" s="31" t="str">
        <f t="shared" si="63"/>
        <v> </v>
      </c>
    </row>
    <row r="517" spans="1:13">
      <c r="A517" s="31" t="str">
        <f t="shared" si="56"/>
        <v> </v>
      </c>
      <c r="B517" s="31" t="str">
        <f>IF(A517=" "," ",($B$26-$B$3*($F$9))*((A517/($F$9))-($C$18/(PI()))*SIN((PI()*A517)/($F$9)))+$B$3*A517)</f>
        <v> </v>
      </c>
      <c r="C517" s="31" t="str">
        <f t="shared" si="60"/>
        <v> </v>
      </c>
      <c r="D517" s="31" t="str">
        <f t="shared" si="57"/>
        <v> </v>
      </c>
      <c r="E517" s="31" t="str">
        <f>IF(D517=" "," ",($E$26-$B$3*($F$8))*((D517/($F$8))-($C$18/(PI()))*SIN((PI()*D517)/($F$8)))+$B$3*D517)</f>
        <v> </v>
      </c>
      <c r="F517" s="31" t="str">
        <f t="shared" si="61"/>
        <v> </v>
      </c>
      <c r="G517" s="31"/>
      <c r="H517" s="31" t="str">
        <f t="shared" si="58"/>
        <v> </v>
      </c>
      <c r="I517" s="31" t="str">
        <f>IF(H517=" "," ",($I$26-$D$3*$F$13)*((H517/$F$13)-($C$18/(PI()))*SIN((PI()*H517)/$F$13))+$D$3*H517)</f>
        <v> </v>
      </c>
      <c r="J517" s="31" t="str">
        <f t="shared" si="62"/>
        <v> </v>
      </c>
      <c r="K517" s="31" t="str">
        <f t="shared" si="59"/>
        <v> </v>
      </c>
      <c r="L517" s="31" t="str">
        <f>IF(K517=" "," ",($L$26-$D$3*$F$12)*((K517/$F$12)-($C$18/(PI()))*SIN((PI()*K517)/$F$12))+$D$3*K517)</f>
        <v> </v>
      </c>
      <c r="M517" s="31" t="str">
        <f t="shared" si="63"/>
        <v> </v>
      </c>
    </row>
    <row r="518" spans="1:13">
      <c r="A518" s="31" t="str">
        <f t="shared" si="56"/>
        <v> </v>
      </c>
      <c r="B518" s="31" t="str">
        <f>IF(A518=" "," ",($B$26-$B$3*($F$9))*((A518/($F$9))-($C$18/(PI()))*SIN((PI()*A518)/($F$9)))+$B$3*A518)</f>
        <v> </v>
      </c>
      <c r="C518" s="31" t="str">
        <f t="shared" si="60"/>
        <v> </v>
      </c>
      <c r="D518" s="31" t="str">
        <f t="shared" si="57"/>
        <v> </v>
      </c>
      <c r="E518" s="31" t="str">
        <f>IF(D518=" "," ",($E$26-$B$3*($F$8))*((D518/($F$8))-($C$18/(PI()))*SIN((PI()*D518)/($F$8)))+$B$3*D518)</f>
        <v> </v>
      </c>
      <c r="F518" s="31" t="str">
        <f t="shared" si="61"/>
        <v> </v>
      </c>
      <c r="G518" s="31"/>
      <c r="H518" s="31" t="str">
        <f t="shared" si="58"/>
        <v> </v>
      </c>
      <c r="I518" s="31" t="str">
        <f>IF(H518=" "," ",($I$26-$D$3*$F$13)*((H518/$F$13)-($C$18/(PI()))*SIN((PI()*H518)/$F$13))+$D$3*H518)</f>
        <v> </v>
      </c>
      <c r="J518" s="31" t="str">
        <f t="shared" si="62"/>
        <v> </v>
      </c>
      <c r="K518" s="31" t="str">
        <f t="shared" si="59"/>
        <v> </v>
      </c>
      <c r="L518" s="31" t="str">
        <f>IF(K518=" "," ",($L$26-$D$3*$F$12)*((K518/$F$12)-($C$18/(PI()))*SIN((PI()*K518)/$F$12))+$D$3*K518)</f>
        <v> </v>
      </c>
      <c r="M518" s="31" t="str">
        <f t="shared" si="63"/>
        <v> </v>
      </c>
    </row>
    <row r="519" spans="1:13">
      <c r="A519" s="31" t="str">
        <f t="shared" si="56"/>
        <v> </v>
      </c>
      <c r="B519" s="31" t="str">
        <f>IF(A519=" "," ",($B$26-$B$3*($F$9))*((A519/($F$9))-($C$18/(PI()))*SIN((PI()*A519)/($F$9)))+$B$3*A519)</f>
        <v> </v>
      </c>
      <c r="C519" s="31" t="str">
        <f t="shared" si="60"/>
        <v> </v>
      </c>
      <c r="D519" s="31" t="str">
        <f t="shared" si="57"/>
        <v> </v>
      </c>
      <c r="E519" s="31" t="str">
        <f>IF(D519=" "," ",($E$26-$B$3*($F$8))*((D519/($F$8))-($C$18/(PI()))*SIN((PI()*D519)/($F$8)))+$B$3*D519)</f>
        <v> </v>
      </c>
      <c r="F519" s="31" t="str">
        <f t="shared" si="61"/>
        <v> </v>
      </c>
      <c r="G519" s="31"/>
      <c r="H519" s="31" t="str">
        <f t="shared" si="58"/>
        <v> </v>
      </c>
      <c r="I519" s="31" t="str">
        <f>IF(H519=" "," ",($I$26-$D$3*$F$13)*((H519/$F$13)-($C$18/(PI()))*SIN((PI()*H519)/$F$13))+$D$3*H519)</f>
        <v> </v>
      </c>
      <c r="J519" s="31" t="str">
        <f t="shared" si="62"/>
        <v> </v>
      </c>
      <c r="K519" s="31" t="str">
        <f t="shared" si="59"/>
        <v> </v>
      </c>
      <c r="L519" s="31" t="str">
        <f>IF(K519=" "," ",($L$26-$D$3*$F$12)*((K519/$F$12)-($C$18/(PI()))*SIN((PI()*K519)/$F$12))+$D$3*K519)</f>
        <v> </v>
      </c>
      <c r="M519" s="31" t="str">
        <f t="shared" si="63"/>
        <v> </v>
      </c>
    </row>
    <row r="520" spans="1:13">
      <c r="A520" s="31" t="str">
        <f t="shared" si="56"/>
        <v> </v>
      </c>
      <c r="B520" s="31" t="str">
        <f>IF(A520=" "," ",($B$26-$B$3*($F$9))*((A520/($F$9))-($C$18/(PI()))*SIN((PI()*A520)/($F$9)))+$B$3*A520)</f>
        <v> </v>
      </c>
      <c r="C520" s="31" t="str">
        <f t="shared" si="60"/>
        <v> </v>
      </c>
      <c r="D520" s="31" t="str">
        <f t="shared" si="57"/>
        <v> </v>
      </c>
      <c r="E520" s="31" t="str">
        <f>IF(D520=" "," ",($E$26-$B$3*($F$8))*((D520/($F$8))-($C$18/(PI()))*SIN((PI()*D520)/($F$8)))+$B$3*D520)</f>
        <v> </v>
      </c>
      <c r="F520" s="31" t="str">
        <f t="shared" si="61"/>
        <v> </v>
      </c>
      <c r="G520" s="31"/>
      <c r="H520" s="31" t="str">
        <f t="shared" si="58"/>
        <v> </v>
      </c>
      <c r="I520" s="31" t="str">
        <f>IF(H520=" "," ",($I$26-$D$3*$F$13)*((H520/$F$13)-($C$18/(PI()))*SIN((PI()*H520)/$F$13))+$D$3*H520)</f>
        <v> </v>
      </c>
      <c r="J520" s="31" t="str">
        <f t="shared" si="62"/>
        <v> </v>
      </c>
      <c r="K520" s="31" t="str">
        <f t="shared" si="59"/>
        <v> </v>
      </c>
      <c r="L520" s="31" t="str">
        <f>IF(K520=" "," ",($L$26-$D$3*$F$12)*((K520/$F$12)-($C$18/(PI()))*SIN((PI()*K520)/$F$12))+$D$3*K520)</f>
        <v> </v>
      </c>
      <c r="M520" s="31" t="str">
        <f t="shared" si="63"/>
        <v> </v>
      </c>
    </row>
    <row r="521" spans="1:13">
      <c r="A521" s="31" t="str">
        <f t="shared" si="56"/>
        <v> </v>
      </c>
      <c r="B521" s="31" t="str">
        <f>IF(A521=" "," ",($B$26-$B$3*($F$9))*((A521/($F$9))-($C$18/(PI()))*SIN((PI()*A521)/($F$9)))+$B$3*A521)</f>
        <v> </v>
      </c>
      <c r="C521" s="31" t="str">
        <f t="shared" si="60"/>
        <v> </v>
      </c>
      <c r="D521" s="31" t="str">
        <f t="shared" si="57"/>
        <v> </v>
      </c>
      <c r="E521" s="31" t="str">
        <f>IF(D521=" "," ",($E$26-$B$3*($F$8))*((D521/($F$8))-($C$18/(PI()))*SIN((PI()*D521)/($F$8)))+$B$3*D521)</f>
        <v> </v>
      </c>
      <c r="F521" s="31" t="str">
        <f t="shared" si="61"/>
        <v> </v>
      </c>
      <c r="G521" s="31"/>
      <c r="H521" s="31" t="str">
        <f t="shared" si="58"/>
        <v> </v>
      </c>
      <c r="I521" s="31" t="str">
        <f>IF(H521=" "," ",($I$26-$D$3*$F$13)*((H521/$F$13)-($C$18/(PI()))*SIN((PI()*H521)/$F$13))+$D$3*H521)</f>
        <v> </v>
      </c>
      <c r="J521" s="31" t="str">
        <f t="shared" si="62"/>
        <v> </v>
      </c>
      <c r="K521" s="31" t="str">
        <f t="shared" si="59"/>
        <v> </v>
      </c>
      <c r="L521" s="31" t="str">
        <f>IF(K521=" "," ",($L$26-$D$3*$F$12)*((K521/$F$12)-($C$18/(PI()))*SIN((PI()*K521)/$F$12))+$D$3*K521)</f>
        <v> </v>
      </c>
      <c r="M521" s="31" t="str">
        <f t="shared" si="63"/>
        <v> </v>
      </c>
    </row>
    <row r="522" spans="1:13">
      <c r="A522" s="31" t="str">
        <f t="shared" si="56"/>
        <v> </v>
      </c>
      <c r="B522" s="31" t="str">
        <f>IF(A522=" "," ",($B$26-$B$3*($F$9))*((A522/($F$9))-($C$18/(PI()))*SIN((PI()*A522)/($F$9)))+$B$3*A522)</f>
        <v> </v>
      </c>
      <c r="C522" s="31" t="str">
        <f t="shared" si="60"/>
        <v> </v>
      </c>
      <c r="D522" s="31" t="str">
        <f t="shared" si="57"/>
        <v> </v>
      </c>
      <c r="E522" s="31" t="str">
        <f>IF(D522=" "," ",($E$26-$B$3*($F$8))*((D522/($F$8))-($C$18/(PI()))*SIN((PI()*D522)/($F$8)))+$B$3*D522)</f>
        <v> </v>
      </c>
      <c r="F522" s="31" t="str">
        <f t="shared" si="61"/>
        <v> </v>
      </c>
      <c r="G522" s="31"/>
      <c r="H522" s="31" t="str">
        <f t="shared" si="58"/>
        <v> </v>
      </c>
      <c r="I522" s="31" t="str">
        <f>IF(H522=" "," ",($I$26-$D$3*$F$13)*((H522/$F$13)-($C$18/(PI()))*SIN((PI()*H522)/$F$13))+$D$3*H522)</f>
        <v> </v>
      </c>
      <c r="J522" s="31" t="str">
        <f t="shared" si="62"/>
        <v> </v>
      </c>
      <c r="K522" s="31" t="str">
        <f t="shared" si="59"/>
        <v> </v>
      </c>
      <c r="L522" s="31" t="str">
        <f>IF(K522=" "," ",($L$26-$D$3*$F$12)*((K522/$F$12)-($C$18/(PI()))*SIN((PI()*K522)/$F$12))+$D$3*K522)</f>
        <v> </v>
      </c>
      <c r="M522" s="31" t="str">
        <f t="shared" si="63"/>
        <v> </v>
      </c>
    </row>
    <row r="523" spans="1:13">
      <c r="A523" s="31" t="str">
        <f t="shared" si="56"/>
        <v> </v>
      </c>
      <c r="B523" s="31" t="str">
        <f>IF(A523=" "," ",($B$26-$B$3*($F$9))*((A523/($F$9))-($C$18/(PI()))*SIN((PI()*A523)/($F$9)))+$B$3*A523)</f>
        <v> </v>
      </c>
      <c r="C523" s="31" t="str">
        <f t="shared" si="60"/>
        <v> </v>
      </c>
      <c r="D523" s="31" t="str">
        <f t="shared" si="57"/>
        <v> </v>
      </c>
      <c r="E523" s="31" t="str">
        <f>IF(D523=" "," ",($E$26-$B$3*($F$8))*((D523/($F$8))-($C$18/(PI()))*SIN((PI()*D523)/($F$8)))+$B$3*D523)</f>
        <v> </v>
      </c>
      <c r="F523" s="31" t="str">
        <f t="shared" si="61"/>
        <v> </v>
      </c>
      <c r="G523" s="31"/>
      <c r="H523" s="31" t="str">
        <f t="shared" si="58"/>
        <v> </v>
      </c>
      <c r="I523" s="31" t="str">
        <f>IF(H523=" "," ",($I$26-$D$3*$F$13)*((H523/$F$13)-($C$18/(PI()))*SIN((PI()*H523)/$F$13))+$D$3*H523)</f>
        <v> </v>
      </c>
      <c r="J523" s="31" t="str">
        <f t="shared" si="62"/>
        <v> </v>
      </c>
      <c r="K523" s="31" t="str">
        <f t="shared" si="59"/>
        <v> </v>
      </c>
      <c r="L523" s="31" t="str">
        <f>IF(K523=" "," ",($L$26-$D$3*$F$12)*((K523/$F$12)-($C$18/(PI()))*SIN((PI()*K523)/$F$12))+$D$3*K523)</f>
        <v> </v>
      </c>
      <c r="M523" s="31" t="str">
        <f t="shared" si="63"/>
        <v> </v>
      </c>
    </row>
    <row r="524" spans="1:13">
      <c r="A524" s="31" t="str">
        <f t="shared" si="56"/>
        <v> </v>
      </c>
      <c r="B524" s="31" t="str">
        <f>IF(A524=" "," ",($B$26-$B$3*($F$9))*((A524/($F$9))-($C$18/(PI()))*SIN((PI()*A524)/($F$9)))+$B$3*A524)</f>
        <v> </v>
      </c>
      <c r="C524" s="31" t="str">
        <f t="shared" si="60"/>
        <v> </v>
      </c>
      <c r="D524" s="31" t="str">
        <f t="shared" si="57"/>
        <v> </v>
      </c>
      <c r="E524" s="31" t="str">
        <f>IF(D524=" "," ",($E$26-$B$3*($F$8))*((D524/($F$8))-($C$18/(PI()))*SIN((PI()*D524)/($F$8)))+$B$3*D524)</f>
        <v> </v>
      </c>
      <c r="F524" s="31" t="str">
        <f t="shared" si="61"/>
        <v> </v>
      </c>
      <c r="G524" s="31"/>
      <c r="H524" s="31" t="str">
        <f t="shared" si="58"/>
        <v> </v>
      </c>
      <c r="I524" s="31" t="str">
        <f>IF(H524=" "," ",($I$26-$D$3*$F$13)*((H524/$F$13)-($C$18/(PI()))*SIN((PI()*H524)/$F$13))+$D$3*H524)</f>
        <v> </v>
      </c>
      <c r="J524" s="31" t="str">
        <f t="shared" si="62"/>
        <v> </v>
      </c>
      <c r="K524" s="31" t="str">
        <f t="shared" si="59"/>
        <v> </v>
      </c>
      <c r="L524" s="31" t="str">
        <f>IF(K524=" "," ",($L$26-$D$3*$F$12)*((K524/$F$12)-($C$18/(PI()))*SIN((PI()*K524)/$F$12))+$D$3*K524)</f>
        <v> </v>
      </c>
      <c r="M524" s="31" t="str">
        <f t="shared" si="63"/>
        <v> </v>
      </c>
    </row>
    <row r="525" spans="1:13">
      <c r="A525" s="31" t="str">
        <f t="shared" si="56"/>
        <v> </v>
      </c>
      <c r="B525" s="31" t="str">
        <f>IF(A525=" "," ",($B$26-$B$3*($F$9))*((A525/($F$9))-($C$18/(PI()))*SIN((PI()*A525)/($F$9)))+$B$3*A525)</f>
        <v> </v>
      </c>
      <c r="C525" s="31" t="str">
        <f t="shared" si="60"/>
        <v> </v>
      </c>
      <c r="D525" s="31" t="str">
        <f t="shared" si="57"/>
        <v> </v>
      </c>
      <c r="E525" s="31" t="str">
        <f>IF(D525=" "," ",($E$26-$B$3*($F$8))*((D525/($F$8))-($C$18/(PI()))*SIN((PI()*D525)/($F$8)))+$B$3*D525)</f>
        <v> </v>
      </c>
      <c r="F525" s="31" t="str">
        <f t="shared" si="61"/>
        <v> </v>
      </c>
      <c r="G525" s="31"/>
      <c r="H525" s="31" t="str">
        <f t="shared" si="58"/>
        <v> </v>
      </c>
      <c r="I525" s="31" t="str">
        <f>IF(H525=" "," ",($I$26-$D$3*$F$13)*((H525/$F$13)-($C$18/(PI()))*SIN((PI()*H525)/$F$13))+$D$3*H525)</f>
        <v> </v>
      </c>
      <c r="J525" s="31" t="str">
        <f t="shared" si="62"/>
        <v> </v>
      </c>
      <c r="K525" s="31" t="str">
        <f t="shared" si="59"/>
        <v> </v>
      </c>
      <c r="L525" s="31" t="str">
        <f>IF(K525=" "," ",($L$26-$D$3*$F$12)*((K525/$F$12)-($C$18/(PI()))*SIN((PI()*K525)/$F$12))+$D$3*K525)</f>
        <v> </v>
      </c>
      <c r="M525" s="31" t="str">
        <f t="shared" si="63"/>
        <v> </v>
      </c>
    </row>
    <row r="526" spans="1:13">
      <c r="A526" s="31" t="str">
        <f t="shared" si="56"/>
        <v> </v>
      </c>
      <c r="B526" s="31" t="str">
        <f>IF(A526=" "," ",($B$26-$B$3*($F$9))*((A526/($F$9))-($C$18/(PI()))*SIN((PI()*A526)/($F$9)))+$B$3*A526)</f>
        <v> </v>
      </c>
      <c r="C526" s="31" t="str">
        <f t="shared" si="60"/>
        <v> </v>
      </c>
      <c r="D526" s="31" t="str">
        <f t="shared" si="57"/>
        <v> </v>
      </c>
      <c r="E526" s="31" t="str">
        <f>IF(D526=" "," ",($E$26-$B$3*($F$8))*((D526/($F$8))-($C$18/(PI()))*SIN((PI()*D526)/($F$8)))+$B$3*D526)</f>
        <v> </v>
      </c>
      <c r="F526" s="31" t="str">
        <f t="shared" si="61"/>
        <v> </v>
      </c>
      <c r="G526" s="31"/>
      <c r="H526" s="31" t="str">
        <f t="shared" si="58"/>
        <v> </v>
      </c>
      <c r="I526" s="31" t="str">
        <f>IF(H526=" "," ",($I$26-$D$3*$F$13)*((H526/$F$13)-($C$18/(PI()))*SIN((PI()*H526)/$F$13))+$D$3*H526)</f>
        <v> </v>
      </c>
      <c r="J526" s="31" t="str">
        <f t="shared" si="62"/>
        <v> </v>
      </c>
      <c r="K526" s="31" t="str">
        <f t="shared" si="59"/>
        <v> </v>
      </c>
      <c r="L526" s="31" t="str">
        <f>IF(K526=" "," ",($L$26-$D$3*$F$12)*((K526/$F$12)-($C$18/(PI()))*SIN((PI()*K526)/$F$12))+$D$3*K526)</f>
        <v> </v>
      </c>
      <c r="M526" s="31" t="str">
        <f t="shared" si="63"/>
        <v> </v>
      </c>
    </row>
    <row r="527" spans="1:13">
      <c r="A527" s="31" t="str">
        <f t="shared" si="56"/>
        <v> </v>
      </c>
      <c r="B527" s="31" t="str">
        <f>IF(A527=" "," ",($B$26-$B$3*($F$9))*((A527/($F$9))-($C$18/(PI()))*SIN((PI()*A527)/($F$9)))+$B$3*A527)</f>
        <v> </v>
      </c>
      <c r="C527" s="31" t="str">
        <f t="shared" si="60"/>
        <v> </v>
      </c>
      <c r="D527" s="31" t="str">
        <f t="shared" si="57"/>
        <v> </v>
      </c>
      <c r="E527" s="31" t="str">
        <f>IF(D527=" "," ",($E$26-$B$3*($F$8))*((D527/($F$8))-($C$18/(PI()))*SIN((PI()*D527)/($F$8)))+$B$3*D527)</f>
        <v> </v>
      </c>
      <c r="F527" s="31" t="str">
        <f t="shared" si="61"/>
        <v> </v>
      </c>
      <c r="G527" s="31"/>
      <c r="H527" s="31" t="str">
        <f t="shared" si="58"/>
        <v> </v>
      </c>
      <c r="I527" s="31" t="str">
        <f>IF(H527=" "," ",($I$26-$D$3*$F$13)*((H527/$F$13)-($C$18/(PI()))*SIN((PI()*H527)/$F$13))+$D$3*H527)</f>
        <v> </v>
      </c>
      <c r="J527" s="31" t="str">
        <f t="shared" si="62"/>
        <v> </v>
      </c>
      <c r="K527" s="31" t="str">
        <f t="shared" si="59"/>
        <v> </v>
      </c>
      <c r="L527" s="31" t="str">
        <f>IF(K527=" "," ",($L$26-$D$3*$F$12)*((K527/$F$12)-($C$18/(PI()))*SIN((PI()*K527)/$F$12))+$D$3*K527)</f>
        <v> </v>
      </c>
      <c r="M527" s="31" t="str">
        <f t="shared" si="63"/>
        <v> </v>
      </c>
    </row>
    <row r="528" spans="1:13">
      <c r="A528" s="31" t="str">
        <f t="shared" si="56"/>
        <v> </v>
      </c>
      <c r="B528" s="31" t="str">
        <f>IF(A528=" "," ",($B$26-$B$3*($F$9))*((A528/($F$9))-($C$18/(PI()))*SIN((PI()*A528)/($F$9)))+$B$3*A528)</f>
        <v> </v>
      </c>
      <c r="C528" s="31" t="str">
        <f t="shared" si="60"/>
        <v> </v>
      </c>
      <c r="D528" s="31" t="str">
        <f t="shared" si="57"/>
        <v> </v>
      </c>
      <c r="E528" s="31" t="str">
        <f>IF(D528=" "," ",($E$26-$B$3*($F$8))*((D528/($F$8))-($C$18/(PI()))*SIN((PI()*D528)/($F$8)))+$B$3*D528)</f>
        <v> </v>
      </c>
      <c r="F528" s="31" t="str">
        <f t="shared" si="61"/>
        <v> </v>
      </c>
      <c r="G528" s="31"/>
      <c r="H528" s="31" t="str">
        <f t="shared" si="58"/>
        <v> </v>
      </c>
      <c r="I528" s="31" t="str">
        <f>IF(H528=" "," ",($I$26-$D$3*$F$13)*((H528/$F$13)-($C$18/(PI()))*SIN((PI()*H528)/$F$13))+$D$3*H528)</f>
        <v> </v>
      </c>
      <c r="J528" s="31" t="str">
        <f t="shared" si="62"/>
        <v> </v>
      </c>
      <c r="K528" s="31" t="str">
        <f t="shared" si="59"/>
        <v> </v>
      </c>
      <c r="L528" s="31" t="str">
        <f>IF(K528=" "," ",($L$26-$D$3*$F$12)*((K528/$F$12)-($C$18/(PI()))*SIN((PI()*K528)/$F$12))+$D$3*K528)</f>
        <v> </v>
      </c>
      <c r="M528" s="31" t="str">
        <f t="shared" si="63"/>
        <v> </v>
      </c>
    </row>
  </sheetData>
  <mergeCells count="5">
    <mergeCell ref="A18:B18"/>
    <mergeCell ref="A25:C25"/>
    <mergeCell ref="D25:F25"/>
    <mergeCell ref="H25:J25"/>
    <mergeCell ref="K25:M2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"/>
  <sheetViews>
    <sheetView workbookViewId="0">
      <selection activeCell="B3" sqref="B3:B8"/>
    </sheetView>
  </sheetViews>
  <sheetFormatPr defaultColWidth="9" defaultRowHeight="14.4" outlineLevelCol="4"/>
  <cols>
    <col min="2" max="2" width="18.25" customWidth="1"/>
    <col min="3" max="3" width="11.6296296296296" customWidth="1"/>
    <col min="4" max="4" width="58" customWidth="1"/>
    <col min="5" max="5" width="19.75" customWidth="1"/>
  </cols>
  <sheetData>
    <row r="2" ht="41" customHeight="1" spans="2:5">
      <c r="B2" s="1" t="s">
        <v>156</v>
      </c>
      <c r="C2" s="1" t="s">
        <v>157</v>
      </c>
      <c r="D2" s="2" t="s">
        <v>158</v>
      </c>
      <c r="E2" s="2"/>
    </row>
    <row r="3" ht="43.2" spans="2:5">
      <c r="B3" s="3" t="s">
        <v>159</v>
      </c>
      <c r="C3" s="4" t="s">
        <v>160</v>
      </c>
      <c r="D3" t="s">
        <v>22</v>
      </c>
      <c r="E3" s="4"/>
    </row>
    <row r="4" ht="43.2" spans="2:5">
      <c r="B4" s="3" t="s">
        <v>161</v>
      </c>
      <c r="C4" s="4" t="s">
        <v>160</v>
      </c>
      <c r="D4" t="s">
        <v>106</v>
      </c>
      <c r="E4" s="4"/>
    </row>
    <row r="5" ht="43.2" spans="2:5">
      <c r="B5" s="3" t="s">
        <v>162</v>
      </c>
      <c r="C5" s="4" t="s">
        <v>70</v>
      </c>
      <c r="D5" s="5" t="s">
        <v>163</v>
      </c>
      <c r="E5" s="4"/>
    </row>
    <row r="6" ht="43.2" spans="2:5">
      <c r="B6" s="3" t="s">
        <v>164</v>
      </c>
      <c r="C6" s="4" t="s">
        <v>70</v>
      </c>
      <c r="D6" s="5" t="s">
        <v>165</v>
      </c>
      <c r="E6" s="4"/>
    </row>
    <row r="7" ht="28.8" spans="2:5">
      <c r="B7" s="3" t="s">
        <v>166</v>
      </c>
      <c r="C7" s="4" t="s">
        <v>70</v>
      </c>
      <c r="D7" s="5" t="s">
        <v>167</v>
      </c>
      <c r="E7" s="4"/>
    </row>
    <row r="8" ht="28.8" spans="2:5">
      <c r="B8" s="3" t="s">
        <v>168</v>
      </c>
      <c r="C8" s="4" t="s">
        <v>70</v>
      </c>
      <c r="D8" s="5" t="s">
        <v>169</v>
      </c>
      <c r="E8" s="4"/>
    </row>
    <row r="9" ht="28.8" spans="2:5">
      <c r="B9" s="3" t="s">
        <v>170</v>
      </c>
      <c r="C9" s="4" t="s">
        <v>70</v>
      </c>
      <c r="D9" s="5" t="s">
        <v>171</v>
      </c>
      <c r="E9" s="4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8">
    <comment s:ref="J20" rgbClr="9F6480"/>
    <comment s:ref="T20" rgbClr="9F6480"/>
    <comment s:ref="AD20" rgbClr="9F6480"/>
  </commentList>
  <commentList sheetStid="11">
    <comment s:ref="B21" rgbClr="225560"/>
    <comment s:ref="J21" rgbClr="9F6480"/>
    <comment s:ref="S21" rgbClr="9F6480"/>
    <comment s:ref="AB21" rgbClr="9F6480"/>
  </commentList>
  <commentList sheetStid="19">
    <comment s:ref="B21" rgbClr="225560"/>
    <comment s:ref="J21" rgbClr="9F6480"/>
    <comment s:ref="S21" rgbClr="9F6480"/>
    <comment s:ref="AB21" rgbClr="9F6480"/>
  </commentList>
  <commentList sheetStid="20">
    <comment s:ref="B21" rgbClr="225560"/>
    <comment s:ref="J21" rgbClr="9F6480"/>
    <comment s:ref="S21" rgbClr="9F6480"/>
    <comment s:ref="AB21" rgbClr="9F648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ALL</vt:lpstr>
      <vt:lpstr>Taiwania 2</vt:lpstr>
      <vt:lpstr>Nano 5</vt:lpstr>
      <vt:lpstr>StrongScaling_24M</vt:lpstr>
      <vt:lpstr>F1_multi</vt:lpstr>
      <vt:lpstr>TW3_multi</vt:lpstr>
      <vt:lpstr>node09g_CPU_16M</vt:lpstr>
      <vt:lpstr>0.994</vt:lpstr>
      <vt:lpstr>2.112</vt:lpstr>
      <vt:lpstr>4.077</vt:lpstr>
      <vt:lpstr>7.984</vt:lpstr>
      <vt:lpstr>10.051</vt:lpstr>
      <vt:lpstr>16.095</vt:lpstr>
      <vt:lpstr>24.039</vt:lpstr>
      <vt:lpstr>32.202</vt:lpstr>
      <vt:lpstr>63.780</vt:lpstr>
      <vt:lpstr>128.393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fandi</dc:creator>
  <cp:lastModifiedBy>fandi</cp:lastModifiedBy>
  <dcterms:created xsi:type="dcterms:W3CDTF">2025-04-17T14:44:00Z</dcterms:created>
  <dcterms:modified xsi:type="dcterms:W3CDTF">2025-10-18T13:21:56Z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